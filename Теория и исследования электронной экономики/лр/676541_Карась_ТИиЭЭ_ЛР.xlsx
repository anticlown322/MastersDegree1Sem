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drawings/drawing5.xml" ContentType="application/vnd.openxmlformats-officedocument.drawing+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drawings/drawing8.xml" ContentType="application/vnd.openxmlformats-officedocument.drawing+xml"/>
  <Override PartName="/xl/charts/chart9.xml" ContentType="application/vnd.openxmlformats-officedocument.drawingml.chart+xml"/>
  <Override PartName="/xl/drawings/drawing9.xml" ContentType="application/vnd.openxmlformats-officedocument.drawing+xml"/>
  <Override PartName="/xl/charts/chart10.xml" ContentType="application/vnd.openxmlformats-officedocument.drawingml.chart+xml"/>
  <Override PartName="/xl/drawings/drawing10.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11.xml" ContentType="application/vnd.openxmlformats-officedocument.drawing+xml"/>
  <Override PartName="/xl/charts/chart13.xml" ContentType="application/vnd.openxmlformats-officedocument.drawingml.chart+xml"/>
  <Override PartName="/xl/drawings/drawing12.xml" ContentType="application/vnd.openxmlformats-officedocument.drawing+xml"/>
  <Override PartName="/xl/charts/chart14.xml" ContentType="application/vnd.openxmlformats-officedocument.drawingml.chart+xml"/>
  <Override PartName="/xl/drawings/drawing13.xml" ContentType="application/vnd.openxmlformats-officedocument.drawing+xml"/>
  <Override PartName="/xl/charts/chart15.xml" ContentType="application/vnd.openxmlformats-officedocument.drawingml.chart+xml"/>
  <Override PartName="/xl/drawings/drawing14.xml" ContentType="application/vnd.openxmlformats-officedocument.drawing+xml"/>
  <Override PartName="/xl/charts/chart16.xml" ContentType="application/vnd.openxmlformats-officedocument.drawingml.chart+xml"/>
  <Override PartName="/xl/drawings/drawing15.xml" ContentType="application/vnd.openxmlformats-officedocument.drawing+xml"/>
  <Override PartName="/xl/charts/chart17.xml" ContentType="application/vnd.openxmlformats-officedocument.drawingml.chart+xml"/>
  <Override PartName="/xl/drawings/drawing16.xml" ContentType="application/vnd.openxmlformats-officedocument.drawing+xml"/>
  <Override PartName="/xl/charts/chart18.xml" ContentType="application/vnd.openxmlformats-officedocument.drawingml.chart+xml"/>
  <Override PartName="/xl/drawings/drawing17.xml" ContentType="application/vnd.openxmlformats-officedocument.drawing+xml"/>
  <Override PartName="/xl/charts/chart19.xml" ContentType="application/vnd.openxmlformats-officedocument.drawingml.chart+xml"/>
  <Override PartName="/xl/drawings/drawing18.xml" ContentType="application/vnd.openxmlformats-officedocument.drawing+xml"/>
  <Override PartName="/xl/charts/chart20.xml" ContentType="application/vnd.openxmlformats-officedocument.drawingml.chart+xml"/>
  <Override PartName="/xl/drawings/drawing19.xml" ContentType="application/vnd.openxmlformats-officedocument.drawing+xml"/>
  <Override PartName="/xl/charts/chart21.xml" ContentType="application/vnd.openxmlformats-officedocument.drawingml.chart+xml"/>
  <Override PartName="/xl/drawings/drawing20.xml" ContentType="application/vnd.openxmlformats-officedocument.drawing+xml"/>
  <Override PartName="/xl/charts/chart22.xml" ContentType="application/vnd.openxmlformats-officedocument.drawingml.chart+xml"/>
  <Override PartName="/xl/drawings/drawing21.xml" ContentType="application/vnd.openxmlformats-officedocument.drawing+xml"/>
  <Override PartName="/xl/charts/chart23.xml" ContentType="application/vnd.openxmlformats-officedocument.drawingml.chart+xml"/>
  <Override PartName="/xl/drawings/drawing2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Files\Учеба\Магистратура\Теория и исследования электронной экономики\лр\"/>
    </mc:Choice>
  </mc:AlternateContent>
  <xr:revisionPtr revIDLastSave="0" documentId="13_ncr:1_{882DF570-4D9A-4341-B9D3-59FF40282D4B}" xr6:coauthVersionLast="47" xr6:coauthVersionMax="47" xr10:uidLastSave="{00000000-0000-0000-0000-000000000000}"/>
  <bookViews>
    <workbookView xWindow="-120" yWindow="-120" windowWidth="29040" windowHeight="15720" xr2:uid="{00000000-000D-0000-FFFF-FFFF00000000}"/>
  </bookViews>
  <sheets>
    <sheet name="Содержание" sheetId="1" r:id="rId1"/>
    <sheet name="2.1 Соц-эк показатели ИКТ" sheetId="2" r:id="rId2"/>
    <sheet name="2.1 Показатели по областям" sheetId="3" r:id="rId3"/>
    <sheet name="Затраты ИКТ организаций 2020" sheetId="4" r:id="rId4"/>
    <sheet name="3.2 Отгружено продукции ИКТ" sheetId="5" r:id="rId5"/>
    <sheet name="3.3 Объем данных Интернет" sheetId="6" r:id="rId6"/>
    <sheet name="4.1 Экспорт товаров ИКТ" sheetId="7" r:id="rId7"/>
    <sheet name="4.2 Импорт товаров ИКТ" sheetId="8" r:id="rId8"/>
    <sheet name="4.2 ИКТ по областям" sheetId="9" r:id="rId9"/>
    <sheet name="4.6 Экспорт услуг ИКТ" sheetId="10" r:id="rId10"/>
    <sheet name="4.7 Импорт услуг ИКТ" sheetId="11" r:id="rId11"/>
    <sheet name="4.9 Цели организаций 2020" sheetId="12" r:id="rId12"/>
    <sheet name="5.1 Резиденты ПВТ" sheetId="13" r:id="rId13"/>
    <sheet name="5.2 Финансы ПВТ" sheetId="14" r:id="rId14"/>
    <sheet name="5.6 Затраты ПВТ 2020" sheetId="15" r:id="rId15"/>
    <sheet name="5.7 Отгружено продукции ПВТ" sheetId="16" r:id="rId16"/>
    <sheet name="5.8 Цели населения 2020" sheetId="17" r:id="rId17"/>
    <sheet name="6.1 Сеть передачи данных" sheetId="18" r:id="rId18"/>
    <sheet name="6.3 Доступ физлиц к Интернет" sheetId="19" r:id="rId19"/>
    <sheet name="7.1 Работники, использ. ПК" sheetId="20" r:id="rId20"/>
    <sheet name="7.2 Использование ИКТ орг" sheetId="21" r:id="rId21"/>
    <sheet name="7.3 ИКТ по видам деят-ти 2020" sheetId="22" r:id="rId22"/>
    <sheet name="Выводы" sheetId="23" r:id="rId23"/>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23" i="21" l="1"/>
  <c r="W24" i="21"/>
  <c r="W22" i="21"/>
  <c r="W21" i="21"/>
  <c r="AB23" i="19"/>
  <c r="AB24" i="19"/>
  <c r="AB22" i="19"/>
  <c r="AB21" i="19"/>
  <c r="AD19" i="18"/>
  <c r="AD20" i="18"/>
  <c r="AD18" i="18"/>
  <c r="AD17" i="18"/>
  <c r="U14" i="16"/>
  <c r="U15" i="16"/>
  <c r="U13" i="16"/>
  <c r="U12" i="16"/>
  <c r="T32" i="14"/>
  <c r="T33" i="14"/>
  <c r="T31" i="14"/>
  <c r="T30" i="14"/>
  <c r="AI20" i="13"/>
  <c r="AI21" i="13"/>
  <c r="X20" i="13"/>
  <c r="W20" i="13"/>
  <c r="V20" i="13"/>
  <c r="U20" i="13"/>
  <c r="T20" i="13"/>
  <c r="S20" i="13"/>
  <c r="R20" i="13"/>
  <c r="Q20" i="13"/>
  <c r="P20" i="13"/>
  <c r="O20" i="13"/>
  <c r="AI19" i="13"/>
  <c r="X19" i="13"/>
  <c r="W19" i="13"/>
  <c r="V19" i="13"/>
  <c r="U19" i="13"/>
  <c r="T19" i="13"/>
  <c r="S19" i="13"/>
  <c r="R19" i="13"/>
  <c r="Q19" i="13"/>
  <c r="P19" i="13"/>
  <c r="O19" i="13"/>
  <c r="AI18" i="13"/>
  <c r="W12" i="11"/>
  <c r="W13" i="11"/>
  <c r="W11" i="11"/>
  <c r="W10" i="11"/>
  <c r="V26" i="10"/>
  <c r="V27" i="10"/>
  <c r="V25" i="10"/>
  <c r="V24" i="10"/>
  <c r="I97" i="8"/>
  <c r="H97" i="8"/>
  <c r="G97" i="8"/>
  <c r="F97" i="8"/>
  <c r="E97" i="8"/>
  <c r="D97" i="8"/>
  <c r="C97" i="8"/>
  <c r="B97" i="8"/>
  <c r="F79" i="8"/>
  <c r="E79" i="8"/>
  <c r="D79" i="8"/>
  <c r="C79" i="8"/>
  <c r="B79" i="8"/>
  <c r="F61" i="8"/>
  <c r="E61" i="8"/>
  <c r="D61" i="8"/>
  <c r="C61" i="8"/>
  <c r="B61" i="8"/>
  <c r="F52" i="8"/>
  <c r="E52" i="8"/>
  <c r="D52" i="8"/>
  <c r="C52" i="8"/>
  <c r="B52" i="8"/>
  <c r="F50" i="8"/>
  <c r="E50" i="8"/>
  <c r="D50" i="8"/>
  <c r="C50" i="8"/>
  <c r="B50" i="8"/>
  <c r="F48" i="8"/>
  <c r="E48" i="8"/>
  <c r="D48" i="8"/>
  <c r="C48" i="8"/>
  <c r="B48" i="8"/>
  <c r="F46" i="8"/>
  <c r="E46" i="8"/>
  <c r="D46" i="8"/>
  <c r="C46" i="8"/>
  <c r="B46" i="8"/>
  <c r="F43" i="8"/>
  <c r="F44" i="8"/>
  <c r="E43" i="8"/>
  <c r="E44" i="8"/>
  <c r="D43" i="8"/>
  <c r="D44" i="8"/>
  <c r="C43" i="8"/>
  <c r="C44" i="8"/>
  <c r="B43" i="8"/>
  <c r="B44" i="8"/>
  <c r="W12" i="8"/>
  <c r="W13" i="8"/>
  <c r="W11" i="8"/>
  <c r="W10" i="8"/>
  <c r="Z11" i="7"/>
  <c r="Z12" i="7"/>
  <c r="Z10" i="7"/>
  <c r="Z9" i="7"/>
  <c r="U11" i="6"/>
  <c r="U12" i="6"/>
  <c r="U10" i="6"/>
  <c r="U9" i="6"/>
  <c r="B3" i="5"/>
  <c r="U23" i="5"/>
  <c r="U24" i="5"/>
  <c r="U22" i="5"/>
  <c r="U21" i="5"/>
  <c r="F20" i="5"/>
  <c r="E20" i="5"/>
  <c r="D20" i="5"/>
  <c r="C20" i="5"/>
  <c r="B20" i="5"/>
  <c r="F16" i="5"/>
  <c r="E16" i="5"/>
  <c r="D16" i="5"/>
  <c r="C16" i="5"/>
  <c r="B16" i="5"/>
  <c r="F15" i="5"/>
  <c r="E15" i="5"/>
  <c r="D15" i="5"/>
  <c r="C15" i="5"/>
  <c r="B15" i="5"/>
  <c r="F14" i="5"/>
  <c r="E14" i="5"/>
  <c r="D14" i="5"/>
  <c r="C14" i="5"/>
  <c r="B14" i="5"/>
  <c r="F13" i="5"/>
  <c r="E13" i="5"/>
  <c r="D13" i="5"/>
  <c r="C13" i="5"/>
  <c r="F12" i="5"/>
  <c r="E12" i="5"/>
  <c r="D12" i="5"/>
  <c r="C12" i="5"/>
  <c r="B12" i="5"/>
  <c r="F11" i="5"/>
  <c r="E11" i="5"/>
  <c r="D11" i="5"/>
  <c r="C11" i="5"/>
  <c r="B11" i="5"/>
  <c r="F10" i="5"/>
  <c r="E10" i="5"/>
  <c r="D10" i="5"/>
  <c r="C10" i="5"/>
  <c r="B10" i="5"/>
  <c r="F9" i="5"/>
  <c r="E9" i="5"/>
  <c r="D9" i="5"/>
  <c r="C9" i="5"/>
  <c r="B9" i="5"/>
  <c r="F8" i="5"/>
  <c r="E8" i="5"/>
  <c r="D8" i="5"/>
  <c r="C8" i="5"/>
  <c r="B8" i="5"/>
  <c r="F7" i="5"/>
  <c r="E7" i="5"/>
  <c r="D7" i="5"/>
  <c r="C7" i="5"/>
  <c r="B7" i="5"/>
  <c r="F6" i="5"/>
  <c r="E6" i="5"/>
  <c r="D6" i="5"/>
  <c r="C6" i="5"/>
  <c r="B6" i="5"/>
  <c r="F5" i="5"/>
  <c r="E5" i="5"/>
  <c r="D5" i="5"/>
  <c r="C5" i="5"/>
  <c r="B5" i="5"/>
  <c r="F3" i="5"/>
  <c r="E3" i="5"/>
  <c r="D3" i="5"/>
  <c r="C3" i="5"/>
  <c r="D16" i="4"/>
  <c r="E37" i="3"/>
  <c r="E38" i="3"/>
  <c r="E36" i="3"/>
  <c r="E35" i="3"/>
  <c r="M22" i="2"/>
  <c r="L22" i="2"/>
  <c r="K22" i="2"/>
  <c r="J22" i="2"/>
  <c r="I22" i="2"/>
  <c r="H22" i="2"/>
  <c r="G22" i="2"/>
  <c r="F22" i="2"/>
  <c r="E22" i="2"/>
  <c r="D22" i="2"/>
  <c r="C22" i="2"/>
  <c r="M21" i="2"/>
  <c r="L21" i="2"/>
  <c r="K21" i="2"/>
  <c r="J21" i="2"/>
  <c r="I21" i="2"/>
  <c r="H21" i="2"/>
  <c r="F19" i="2"/>
  <c r="G21" i="2"/>
  <c r="E19" i="2"/>
  <c r="F21" i="2"/>
  <c r="D19" i="2"/>
  <c r="E21" i="2"/>
  <c r="C19" i="2"/>
  <c r="D21" i="2"/>
  <c r="B19" i="2"/>
  <c r="C21" i="2"/>
  <c r="X19" i="2"/>
  <c r="AA19" i="2"/>
  <c r="U19" i="2"/>
  <c r="R19" i="2"/>
  <c r="X18" i="2"/>
  <c r="AA18" i="2"/>
  <c r="U18" i="2"/>
  <c r="R18" i="2"/>
  <c r="B15" i="2"/>
  <c r="X17" i="2"/>
  <c r="AA17" i="2"/>
  <c r="U17" i="2"/>
  <c r="R17" i="2"/>
  <c r="X16" i="2"/>
  <c r="AA16" i="2"/>
  <c r="U16" i="2"/>
  <c r="R16" i="2"/>
  <c r="X15" i="2"/>
  <c r="AA15" i="2"/>
  <c r="U15" i="2"/>
  <c r="R15" i="2"/>
  <c r="F15" i="2"/>
  <c r="E15" i="2"/>
  <c r="D15" i="2"/>
  <c r="C15" i="2"/>
  <c r="B9" i="2"/>
  <c r="X14" i="2"/>
  <c r="AA14" i="2"/>
  <c r="U14" i="2"/>
  <c r="R14" i="2"/>
  <c r="X13" i="2"/>
  <c r="AA13" i="2"/>
  <c r="U13" i="2"/>
  <c r="R13" i="2"/>
  <c r="F13" i="2"/>
  <c r="F11" i="2"/>
  <c r="E11" i="2"/>
  <c r="D11" i="2"/>
  <c r="C11" i="2"/>
  <c r="B11" i="2"/>
  <c r="AC10" i="2"/>
  <c r="AB10" i="2"/>
  <c r="AA10" i="2"/>
  <c r="Z10" i="2"/>
  <c r="Y10" i="2"/>
  <c r="X10" i="2"/>
  <c r="W10" i="2"/>
  <c r="V10" i="2"/>
  <c r="U10" i="2"/>
  <c r="T10" i="2"/>
  <c r="S10" i="2"/>
  <c r="R10" i="2"/>
  <c r="F9" i="2"/>
  <c r="E9" i="2"/>
  <c r="D9" i="2"/>
  <c r="C9" i="2"/>
</calcChain>
</file>

<file path=xl/sharedStrings.xml><?xml version="1.0" encoding="utf-8"?>
<sst xmlns="http://schemas.openxmlformats.org/spreadsheetml/2006/main" count="576" uniqueCount="338">
  <si>
    <t>Содержание</t>
  </si>
  <si>
    <t>2.1 Соц-эк показатели ИКТ</t>
  </si>
  <si>
    <t>2.1 Показатели по областям</t>
  </si>
  <si>
    <t>Затраты ИКТ организаций 2020</t>
  </si>
  <si>
    <t>3.2 Отгружено продукции ИКТ</t>
  </si>
  <si>
    <t>3.3 Объем данных Интернет</t>
  </si>
  <si>
    <t>4.1 Экспорт товаров ИКТ</t>
  </si>
  <si>
    <t>4.2 Импорт товаров ИКТ</t>
  </si>
  <si>
    <t>4.2 ИКТ по областям</t>
  </si>
  <si>
    <t>4.6 Экспорт услуг ИКТ</t>
  </si>
  <si>
    <t>4.7 Импорт услуг ИКТ</t>
  </si>
  <si>
    <t>4.9 Цели организаций 2020</t>
  </si>
  <si>
    <t>5.1 Резиденты ПВТ</t>
  </si>
  <si>
    <t>5.2 Финансы ПВТ</t>
  </si>
  <si>
    <t>5.6 Затраты ПВТ 2020</t>
  </si>
  <si>
    <t>5.7 Отгружено продукции ПВТ</t>
  </si>
  <si>
    <t>5.8 Цели населения 2020</t>
  </si>
  <si>
    <t>6.1 Сеть передачи данных</t>
  </si>
  <si>
    <t>6.3 Доступ физлиц к Интернет</t>
  </si>
  <si>
    <t>7.1 Работники, использ. ПК</t>
  </si>
  <si>
    <t>7.2 Использование ИКТ орг</t>
  </si>
  <si>
    <t>7.3 ИКТ по видам деят-ти 2020</t>
  </si>
  <si>
    <t>Выводы</t>
  </si>
  <si>
    <t>(Клик ЛКМ по пункту содержания, чтобы перейти к нужной странице)</t>
  </si>
  <si>
    <t>Вывод</t>
  </si>
  <si>
    <t>Анализ основных социально-экономических показателей организаций сектора ИКТ за 2011–2022 гг. показывает, что число организаций сектора увеличилось на 1868 единиц (почти в полтора раза), валовая добавленная стоимость выросла более чем в четырнадцать раз, выручка — в десять раз, а среднегодовая численность работников достигла максимума в 2021 году.</t>
  </si>
  <si>
    <t>Основные социально-экономические показатели организаций сектора ИКТ</t>
  </si>
  <si>
    <t xml:space="preserve">Число организаций сектора ИКТ, единиц / Number of businesses  in ICT sector </t>
  </si>
  <si>
    <t>Валовая добавленная стоимость сектора ИКТ (в текущих ценах), млн. руб. / Gross value added of ICT sector (at current prices), BYN million</t>
  </si>
  <si>
    <t>Доля валовой добавленной стоимости сектора ИКТ в валовом внутреннем продукте, процентов / Share of gross value added of ICT sector in GDP, %</t>
  </si>
  <si>
    <t>Темп роста базисный, % к 2011 г. (2011 = 100)</t>
  </si>
  <si>
    <t xml:space="preserve">Инвестиции в основной капитал в сектор ИКТ, млн. руб. / Fixed capital investment in ICT sector, BYN million </t>
  </si>
  <si>
    <t>Иностранные инвестиции, поступившие в организации сектора ИКТ (млн. долларов США) / Foreign investment in ICT sector (USD million)</t>
  </si>
  <si>
    <t>Показатель</t>
  </si>
  <si>
    <t>Абсолютное изменение за период</t>
  </si>
  <si>
    <t>Относительное изменение за период, %</t>
  </si>
  <si>
    <t>Среднегодовой темп роста, %</t>
  </si>
  <si>
    <t>Среднегодовой темп прироста, %</t>
  </si>
  <si>
    <t>Выручка от реализации продукции, товаров, работ, услуг, млн. руб. / Sales revenue, BYN million</t>
  </si>
  <si>
    <t>Число организаций сектора ИКТ, единиц</t>
  </si>
  <si>
    <t>Себестоимость реализованной продукции, товаров, работ, услуг, млн. руб. / Cost of sales, BYN million</t>
  </si>
  <si>
    <t>Валовая добавленная стоимость сектора ИКТ, млн руб.</t>
  </si>
  <si>
    <t xml:space="preserve">Чистая прибыль, убыток (-) организаций сектора ИКТ,  млн. руб. / Net profit in ICT sector, BYN million </t>
  </si>
  <si>
    <t>Доля ВДС сектора ИКТ в ВВП, %</t>
  </si>
  <si>
    <t xml:space="preserve">Удельный вес убыточных организаций в общем количестве организаций, процентов / Proportion of loss-making  organisations, % </t>
  </si>
  <si>
    <t xml:space="preserve"> </t>
  </si>
  <si>
    <t>Выручка от реализации, млн руб.</t>
  </si>
  <si>
    <t xml:space="preserve">Рентабельность продаж организаций сектора ИКТ, процентов  / Profitability of sales in ICT sector, % </t>
  </si>
  <si>
    <t>Чистая прибыль, млн руб.</t>
  </si>
  <si>
    <t>Списочная численность работников организаций сектора ИКТ в среднем за год, человек / Average annual payroll number  of employees in ICT sector, persons</t>
  </si>
  <si>
    <t>Списочная численность работников, человек</t>
  </si>
  <si>
    <t>Номинальная начисленная среднемесячная заработная плата работников организаций сектора ИКТ, BYN</t>
  </si>
  <si>
    <t>Номинальная начисленная среднемесячная заработная плата, руб.</t>
  </si>
  <si>
    <t xml:space="preserve">Темп роста, номинальной начисленной среднемесячной заработной платы работников организаций сектора ИКТ, тыс. руб., 2016 год – рублей </t>
  </si>
  <si>
    <t>Валовая добавленная стоимость сектора ИКТ (в текущих ценах), млн руб.</t>
  </si>
  <si>
    <t>Республика Беларусь</t>
  </si>
  <si>
    <t>Брестская</t>
  </si>
  <si>
    <t>Витебская</t>
  </si>
  <si>
    <t>Гомельская</t>
  </si>
  <si>
    <t>Гродненская</t>
  </si>
  <si>
    <t>г. Минск</t>
  </si>
  <si>
    <t>Минская</t>
  </si>
  <si>
    <t>Могилевская</t>
  </si>
  <si>
    <t>Анализ показателей по областям и г. Минску показывает высокую территориальную концентрацию сектора ИКТ: на г. Минск приходится около 69 % организаций сектора и около 73 % валовой добавленной стоимости. За 2019–2024 гг. число организаций выросло в Витебской и Минской областях, сократилось в Брестской и Могилевской.</t>
  </si>
  <si>
    <t>Анализ динамики показателя «число организаций сектора ИКТ по областям и г. Минску», единиц</t>
  </si>
  <si>
    <t>Затраты организаций сектора ИКТ  на информационно-коммуникационные технологии</t>
  </si>
  <si>
    <t>Всего / Total</t>
  </si>
  <si>
    <t xml:space="preserve">в том числе на: of which on: </t>
  </si>
  <si>
    <t>приобретение вычислительной техники (включая установку  и наладку)</t>
  </si>
  <si>
    <t xml:space="preserve">приобретение программных средств </t>
  </si>
  <si>
    <t>оплату услуг в области телекоммуникаций</t>
  </si>
  <si>
    <t xml:space="preserve">обучение работников, связанное с развитием  и использованием информационно- коммуникационных технологий </t>
  </si>
  <si>
    <t xml:space="preserve">оплату услуг сторонних организаций и специалистов, связанных с информационнокоммуникационными 
технологиями </t>
  </si>
  <si>
    <t xml:space="preserve">оказание услуг по подготовке и вводу данных </t>
  </si>
  <si>
    <t>нет данных</t>
  </si>
  <si>
    <t xml:space="preserve">прочие затраты  на информационнокоммуникационные технологии </t>
  </si>
  <si>
    <t>приобретение телекоммуникационного
оборудования</t>
  </si>
  <si>
    <t>-</t>
  </si>
  <si>
    <t>Анализ показывает, что затраты организаций сектора ИКТ на цифровые технологии сократились с 1245,7 млн руб. в 2011 году до 847,8 млн руб. в 2020 году после пика 2124,2 млн руб. в 2014 году. В структуре затрат 2020 года преобладают оплата услуг сторонних организаций и специалистов (240,4 млн руб.), прочие затраты (228,8 млн руб.) и приобретение программных средств (128,2 млн руб.), тогда как на обучение работников направлено лишь 2,6 млн руб.</t>
  </si>
  <si>
    <t>Отгружено продукции (работ, услуг) собственного производства организациями сектора ИКТ</t>
  </si>
  <si>
    <t>Отгружено продукции (работ, услуг) собственного производства / Shipped own production</t>
  </si>
  <si>
    <t xml:space="preserve">в том числе: of which: </t>
  </si>
  <si>
    <t xml:space="preserve">технические средства / hardware </t>
  </si>
  <si>
    <t xml:space="preserve">программное обеспечение / software </t>
  </si>
  <si>
    <t xml:space="preserve">консультационные услуги по техническим средствам, связанные с их приобретением, установкой  и эксплуатацией / consultancy related to acquisition, installation and operation of hardware  </t>
  </si>
  <si>
    <t>Анализ данных по объему отгруженной продукции (работ, услуг) собственного производства организациями сектора ИКТ за 2011–2020 гг. показывает, что объем вырос с 1149,6 до 12 596,0 млн руб., то есть более чем в десять раз. Наибольший вклад вносят услуги в области телекоммуникаций и программное обеспечение. Графически данная тенденция проиллюстрирована на рисунке:</t>
  </si>
  <si>
    <t xml:space="preserve">сопровождение программного обеспечения, консультационные услуги  по программному обеспечению /software maintenance and consultancy  </t>
  </si>
  <si>
    <t xml:space="preserve">консультационные услуги  по информационному обеспечению и обработке данных; услуги по подготовке и вводу данных / consultancy  on information support and data processing; data origination  and entry services </t>
  </si>
  <si>
    <t xml:space="preserve">услуги по разработке автоматизированных информационных систем, систем для научных исследований, систем проектирования и управления на основе баз данных, системных и прикладных программных средств / development of automated information systems, systems designed for research, design  and control systems on the basis  of databases, system software  and applications </t>
  </si>
  <si>
    <t xml:space="preserve">услуги по техническому обслуживанию и ремонту оргтехники для офисов, электронных вычислительных машин  и используемого совместно  с ними периферийного  и сетевого оборудования maintenance and repair  of office machinery, electronic computing machines,  of peripherals and network equipment used with them </t>
  </si>
  <si>
    <t xml:space="preserve">электронные информационные услуги  / electronic information services </t>
  </si>
  <si>
    <t>услуги в области телекоммуникаций / telecommunication services</t>
  </si>
  <si>
    <t>из них телематические услуги и услуги передачи данных  / 
of which telematic and data transmission services</t>
  </si>
  <si>
    <t>услуги по обучению  в области информационнокоммуникационных технологий / training in ICT</t>
  </si>
  <si>
    <t xml:space="preserve">прочие услуги, связанные  с информационнокоммуникационными технологиями  / other ICT-related services </t>
  </si>
  <si>
    <t>Анализ динамики показателя «отгружено продукции (работ, услуг) собственного производства организациями сектора ИКТ», млн руб.</t>
  </si>
  <si>
    <t>–</t>
  </si>
  <si>
    <t>Анализ показывает, что объем данных, потребленных абонентами и пользователями, подключенными к сети Интернет, вырос с 3977,4 Пбайт в 2019 году до 8692,0 Пбайт в 2024 году, то есть более чем в два раза. Основной объем потребления обеспечивает стационарный широкополосный доступ.</t>
  </si>
  <si>
    <t>Объем данных, потребленных абонентами и пользователями, подключенными к сети Интернет, Пбайт</t>
  </si>
  <si>
    <t>Анализ динамики показателя «объем данных, потребленных абонентами и пользователями», Пбайт</t>
  </si>
  <si>
    <t>Объем данных, потребленных абонентами и пользователями, подключенными к сети Интернет</t>
  </si>
  <si>
    <t>по стационарному широкополосному доступу</t>
  </si>
  <si>
    <t>по беспроводному широкополосному доступу</t>
  </si>
  <si>
    <t xml:space="preserve">Экспорт товаров сектора ИКТ </t>
  </si>
  <si>
    <t xml:space="preserve">Всего – млн. долларов США  / Total, USD million </t>
  </si>
  <si>
    <t>Анализ данных по экспорту товаров сектора ИКТ за 2013–2020 гг. показывает рост с 257,0 до 404,9 млн долл. США при сохранении низкой доли товаров ИКТ в общем объеме экспорта товаров республики (не более 1,4 %). Экспорт товаров сектора ИКТ существенно уступает импорту.</t>
  </si>
  <si>
    <t xml:space="preserve">в том числе: / of which: оборудование связи communication equipment </t>
  </si>
  <si>
    <t xml:space="preserve">компьютеры  и периферийное оборудование / computers and peripherals  </t>
  </si>
  <si>
    <t xml:space="preserve">потребительская электронная аппаратура / consumer electronic equipment </t>
  </si>
  <si>
    <t xml:space="preserve">прочие компоненты  и товары ИКТ / other ICT components and goods </t>
  </si>
  <si>
    <t>Доля товаров сектора ИКТ  в общем объеме экспорта товаров, процентов / Share of ICT goods in total commodity exports, %</t>
  </si>
  <si>
    <t>Анализ динамики показателя «экспорт товаров сектора ИКТ», млн долл. США</t>
  </si>
  <si>
    <t>Экспорт товаров сектора ИКТ (сборник 2019)</t>
  </si>
  <si>
    <t xml:space="preserve">в том числе: / of which: коммуникационное оборудование communication equipment </t>
  </si>
  <si>
    <t xml:space="preserve">бытовая электронная техника / household electronic equipment </t>
  </si>
  <si>
    <t>Экспорт товаров сектора ИКТ (сборник 2021)</t>
  </si>
  <si>
    <t xml:space="preserve">Импорт товаров сектора ИКТ </t>
  </si>
  <si>
    <t xml:space="preserve">Всего – млн. долларов США / Total, USD million  </t>
  </si>
  <si>
    <t>Анализ данных по импорту товаров сектора ИКТ за 2013–2020 гг. показывает снижение с 1570,9 до 1296,1 млн долл. США после пика 2013 года. Импорт товаров ИКТ многократно превышает экспорт: сальдо внешней торговли товарами сектора ИКТ отрицательное.</t>
  </si>
  <si>
    <t xml:space="preserve">компьютеры  и периферийное оборудование / computers and peripherals </t>
  </si>
  <si>
    <t xml:space="preserve">Доля товаров сектора ИКТ  в общем объеме импорта товаров, процентов  / Share of ICT goods in total commodity imports, % </t>
  </si>
  <si>
    <t>Анализ динамики показателя «импорт товаров сектора ИКТ», млн долл. США</t>
  </si>
  <si>
    <t xml:space="preserve">Импорт товаров сектора ИКТ (сборник 2019) </t>
  </si>
  <si>
    <t xml:space="preserve">Импорт товаров сектора ИКТ (сборник 2021) </t>
  </si>
  <si>
    <t xml:space="preserve">Экспорт товаров сектора ИКТ (сборник 2019) </t>
  </si>
  <si>
    <t xml:space="preserve">Экспорт товаров сектора ИКТ (сборник 2021) </t>
  </si>
  <si>
    <t>Использование ИКТ в организациях по областям и г. Минску в 2024 году (в процентах к общему числу обследованных организаций)</t>
  </si>
  <si>
    <t>Локальные вычислительные сети</t>
  </si>
  <si>
    <t>Интернет</t>
  </si>
  <si>
    <t>Облачные сервисы</t>
  </si>
  <si>
    <t>Анализ по областям показывает практически полный охват организаций сетью Интернет во всех регионах. Локальные вычислительные сети чаще используют в Брестской и Гродненской областях, облачные сервисы — в Могилевской области и г. Минске.</t>
  </si>
  <si>
    <t>Анализ данных по экспорту услуг сектора ИКТ за 2011–2020 гг. показывает рост в 5,9 раза — с 456,4 до 2685,2 млн долл. США. Основу экспорта составляют компьютерные услуги, доля которых достигла 93 %. Доля услуг сектора ИКТ в общем объеме экспорта услуг республики увеличилась с 9,0 до 30,7 %. Графически данная тенденция проиллюстрирована на рисунке:</t>
  </si>
  <si>
    <t xml:space="preserve">Экспорт услуг сектора ИКТ </t>
  </si>
  <si>
    <t xml:space="preserve">Всего – млн. долларов США Total, USD million </t>
  </si>
  <si>
    <t xml:space="preserve">в том числе: / of which: </t>
  </si>
  <si>
    <t xml:space="preserve">телекоммуникационные услуги / telecommunication services </t>
  </si>
  <si>
    <t>компьютерные услуги / computer services</t>
  </si>
  <si>
    <t xml:space="preserve">информационные услуги / information services </t>
  </si>
  <si>
    <t xml:space="preserve">Доля услуг сектора ИКТ в общем объеме экспорта услуг, процентов  / Share of ICT sector in total exports of services, % </t>
  </si>
  <si>
    <t>Анализ динамики показателя «экспорт услуг сектора ИКТ», млн долл. США</t>
  </si>
  <si>
    <t>Анализ данных по импорту услуг сектора ИКТ показывает рост с 180,2 млн долл. США в 2011 году до 423,1 млн долл. США в 2020 году. Импорт услуг в несколько раз уступает экспорту, поэтому торговля услугами сектора ИКТ устойчиво профицитна. Основу импорта составляют телекоммуникационные и компьютерные услуги.</t>
  </si>
  <si>
    <t xml:space="preserve">Импорт услуг сектора ИКТ </t>
  </si>
  <si>
    <t>Анализ динамики показателя «импорт услуг сектора ИКТ», млн долл. США</t>
  </si>
  <si>
    <t xml:space="preserve">Доля услуг сектора ИКТ в общем объеме импорта услуг, процентов  / Share of ICT sector in total imports  of services, % </t>
  </si>
  <si>
    <t>Организации по целям использования сети Интернет по областям и г. Минску в 2020 году (в процентах к общему числу организаций, имевших доступ к сети Интернет; сборник 2021 года)</t>
  </si>
  <si>
    <t>поиск информации</t>
  </si>
  <si>
    <t>отправка и получение электронной почты</t>
  </si>
  <si>
    <t>поиск персонала</t>
  </si>
  <si>
    <t>профессиональная подготовка персонала</t>
  </si>
  <si>
    <t>интернет-телефония, аудио- и видеоконференции</t>
  </si>
  <si>
    <t>В 2020 году организации чаще всего использовали сеть Интернет для отправки и получения электронной почты (98,8 %), поиска информации (98,8 %) и осуществления банковских операций (96,5 %). Реже всего использовались распространение электронной продукции (18,8 %), послепродажное обслуживание, (26,7%) электронные расчеты с потребителями (38,7 %) и доступ к другим финансовым услугам (40,4 %).</t>
  </si>
  <si>
    <t>подписка на электронные базы данных, библиотеки</t>
  </si>
  <si>
    <t>осуществление банковских операций</t>
  </si>
  <si>
    <t>получение или оказание информационных услуг</t>
  </si>
  <si>
    <t>диалог в режиме реального времени, объявления</t>
  </si>
  <si>
    <t>доступ к другим финансовым услугам</t>
  </si>
  <si>
    <t>общение в социальных медиа</t>
  </si>
  <si>
    <t>получение сведений о товарах и их поставщиках</t>
  </si>
  <si>
    <t>предоставление сведений о потребностях организации</t>
  </si>
  <si>
    <t>размещение заказов на товары (работы, услуги)</t>
  </si>
  <si>
    <t>оплата поставляемых товаров (работ, услуг)</t>
  </si>
  <si>
    <t>получение электронной продукции</t>
  </si>
  <si>
    <t>предоставление сведений об организации, ее товарах</t>
  </si>
  <si>
    <t>получение заказов на выпускаемые товары (услуги)</t>
  </si>
  <si>
    <t>электронные расчеты с потребителями</t>
  </si>
  <si>
    <t>распространение электронной продукции</t>
  </si>
  <si>
    <t>послепродажное обслуживание</t>
  </si>
  <si>
    <t>получение информации о деятельности госорганов</t>
  </si>
  <si>
    <t>предоставление статистической отчетности, деклараций</t>
  </si>
  <si>
    <t>получение государственных услуг в электронном виде</t>
  </si>
  <si>
    <t>участие в электронных аукционах на госзакупки</t>
  </si>
  <si>
    <t xml:space="preserve">Основные показатели деятельности  организаций − резидентов Парка высоких технологий </t>
  </si>
  <si>
    <t>Основные показатели деятельности  организаций − резидентов Парка высоких технологий (приведенная)</t>
  </si>
  <si>
    <t xml:space="preserve">Число организаций − резидентов, единиц  Number of resident businesses </t>
  </si>
  <si>
    <t>Анализ данных по числу организаций − резидентов ПВТ за 2011–2020 гг. показывает рост почти в десять раз — со 102 до 962 организаций. Резиденты ПВТ сформировали 54,9 % списочной численности работников сектора ИКТ (2020 год). Графически данная тенденция проиллюстрирована на рисунке:</t>
  </si>
  <si>
    <t xml:space="preserve">в процентах к числу организаций  сектора ИКТ / as % of ICT sector </t>
  </si>
  <si>
    <t xml:space="preserve">Использовано инвестиций в основной капитал,  млн. рублей,  2016 год – тыс. рублей / Fixed capital investment, BYR million, 2016 – BYN thousand </t>
  </si>
  <si>
    <t xml:space="preserve">в процентах  к инвестициям  в основной капитал  в сектор ИКТ  / as % of fixed capital investment in ICT sector </t>
  </si>
  <si>
    <t xml:space="preserve">Списочная численность работников в среднем  за год, человек / Average annual payroll employment </t>
  </si>
  <si>
    <t xml:space="preserve">в процентах к списочной численности работников сектора ИКТ as % of payroll employment  in ICT sector </t>
  </si>
  <si>
    <t xml:space="preserve">Номинальная начисленная среднемесячная заработная плата работников, тыс. рублей, 2016 год – рублей / Nominal gross average monthly earnings, BYR thousand,  2016 – BYN </t>
  </si>
  <si>
    <t xml:space="preserve">отношение  к номинальной начисленной среднемесячной заработной плате работников сектора ИКТ, процентов / as % of nominal gross average monthly earnings   in ICT sector </t>
  </si>
  <si>
    <t xml:space="preserve">в 2,7р. </t>
  </si>
  <si>
    <t>в 2,4р.</t>
  </si>
  <si>
    <t xml:space="preserve">отношение к среднереспубликанскому уровню номинальной начисленной среднемесячной / as % of the average national earnings level заработной платы, процентов </t>
  </si>
  <si>
    <t xml:space="preserve">в 4,1р. </t>
  </si>
  <si>
    <t>в 3,6р.</t>
  </si>
  <si>
    <t>в 3,1р.</t>
  </si>
  <si>
    <t>в 3,2р.</t>
  </si>
  <si>
    <t>в 5р.</t>
  </si>
  <si>
    <t>в 5,8р.</t>
  </si>
  <si>
    <t>Анализ динамики показателя «число организаций − резидентов ПВТ», единиц</t>
  </si>
  <si>
    <t>С учетом средневзвешенного курса белорусского рубля</t>
  </si>
  <si>
    <t>Средневзевешенный курс</t>
  </si>
  <si>
    <t>Инвестиции в основной капитал, тыс. долл.</t>
  </si>
  <si>
    <t>Номинальная начисленная среднемесячная заработная плата работников, тыс. долл.</t>
  </si>
  <si>
    <t>Анализ финансовых показателей резидентов ПВТ показывает уверенный рост: чистая прибыль увеличилась с 338,0 млн руб. в 2016 году до 1665,1 млн руб. в 2020 году (в 4,9 раза), выручка — с 1794,3 до 7437,4 млн руб. Вместе с тем растет доля убыточных организаций (с 3,7 до 19,1 %), а рентабельность продаж постепенно снижается — с 26,3 до 24,4 %.</t>
  </si>
  <si>
    <t>Основные финансовые показатели работы организаций − резидентов ПВТ (сборник 2021 года)</t>
  </si>
  <si>
    <t>Выручка от реализации продукции, товаров, работ, услуг, млн руб.</t>
  </si>
  <si>
    <t>Себестоимость реализованной продукции, товаров, работ, услуг, млн руб.</t>
  </si>
  <si>
    <t>Прибыль (убыток) от реализации, млн руб.</t>
  </si>
  <si>
    <t>Прибыль (убыток) до налогообложения, млн руб.</t>
  </si>
  <si>
    <t>Чистая прибыль (убыток), млн руб.</t>
  </si>
  <si>
    <t>Удельный вес убыточных организаций, %</t>
  </si>
  <si>
    <t>Рентабельность реализованной продукции, %</t>
  </si>
  <si>
    <t>Рентабельность продаж, %</t>
  </si>
  <si>
    <t>Анализ динамики показателя «чистая прибыль организаций − резидентов ПВТ», млн руб.</t>
  </si>
  <si>
    <t>В 2020 году затраты резидентов ПВТ на разработку, внедрение и использование цифровых технологий составили 463,9 млн руб. Наибольшие направления — прочие затраты (36,4 %) и оплата услуг сторонних организаций и специалистов (29,7 %), в том числе облачных сервисов (10,5 %).</t>
  </si>
  <si>
    <t>Затраты на разработку, внедрение и использование цифровых технологий организациями − резидентами ПВТ в 2020 году (сборник 2021 года)</t>
  </si>
  <si>
    <t>Направление затрат</t>
  </si>
  <si>
    <t>млн руб.</t>
  </si>
  <si>
    <t>% к итогу</t>
  </si>
  <si>
    <t>Всего</t>
  </si>
  <si>
    <t>приобретение машин и оборудования (включая ТО и ремонт)</t>
  </si>
  <si>
    <t>из них вычислительная техника и оргтехника</t>
  </si>
  <si>
    <t>приобретение программного обеспечения</t>
  </si>
  <si>
    <t>оплата телекоммуникационных услуг</t>
  </si>
  <si>
    <t>обучение работников</t>
  </si>
  <si>
    <t>услуги сторонних организаций и специалистов</t>
  </si>
  <si>
    <t>из них облачные сервисы</t>
  </si>
  <si>
    <t>прочие затраты</t>
  </si>
  <si>
    <t xml:space="preserve">Отгружено продукции (работ, услуг) собственного производства организациями − резидентами  Парка высоких технологий </t>
  </si>
  <si>
    <t>Отгружено продукции 
(работ, услуг) собственного производства /
Shipped own production</t>
  </si>
  <si>
    <t>в том числе:  of which:</t>
  </si>
  <si>
    <t xml:space="preserve">технические средства hardware </t>
  </si>
  <si>
    <t>Анализ данных по объему отгруженной продукции организациями − резидентами ПВТ за 2011–2020 гг. показывает рост в пятьдесят раз — со 140,6 до 7035,6 млн руб. Основу составляет программное обеспечение и услуги по разработке информационных систем. Графически данная тенденция проиллюстрирована на рисунке:</t>
  </si>
  <si>
    <t>программное обеспечение / software</t>
  </si>
  <si>
    <t>консультационные услуги  по техническим средствам, связанные с их приобретением, установкой  и эксплуатацией  /
consultancy on hardware acquisition, installation and operation</t>
  </si>
  <si>
    <t>сопровождение программного обеспечения, консультационные услуги  по программному обеспечению  /
software maintenance and related consultancy</t>
  </si>
  <si>
    <t>консультационные услуги  
по информационному обеспечению  и обработке данных; услуги по подготовке  и вводу данных / consultancy  on information support and data processing; data origination and data entry services</t>
  </si>
  <si>
    <t>услуги по разработке автоматизированных информационных систем, систем для научных исследований, систем проектирования и управления на основе баз данных, системных и прикладных программных средств systems, systems for research, design and control systems on the basis  of databases, system software and applications</t>
  </si>
  <si>
    <t>Анализ динамики показателя «отгружено продукции организациями − резидентами ПВТ», млн руб.</t>
  </si>
  <si>
    <t>прочие услуги, связанные с ИКТ / other ICT-related services</t>
  </si>
  <si>
    <t>Интернет-пользователи по целям выхода в сеть Интернет в 2020 году (в процентах от общего числа интернет-пользователей соответствующей группы; сборник 2021 года)</t>
  </si>
  <si>
    <t>фильмы, музыка</t>
  </si>
  <si>
    <t>социальные сети</t>
  </si>
  <si>
    <t>чтение прессы</t>
  </si>
  <si>
    <t>эл. почта, переговоры</t>
  </si>
  <si>
    <t>компьютерные игры</t>
  </si>
  <si>
    <t>финансовые операции</t>
  </si>
  <si>
    <t>покупка товаров</t>
  </si>
  <si>
    <t>гос. организации</t>
  </si>
  <si>
    <t>образование</t>
  </si>
  <si>
    <t>Интернет-пользователи</t>
  </si>
  <si>
    <t>мужчины</t>
  </si>
  <si>
    <t>женщины</t>
  </si>
  <si>
    <t>города и поселки городского типа</t>
  </si>
  <si>
    <t>сельские населенные пункты</t>
  </si>
  <si>
    <t>6–15 лет</t>
  </si>
  <si>
    <t>16–24 года</t>
  </si>
  <si>
    <t>25–54 года</t>
  </si>
  <si>
    <t>55–64 года</t>
  </si>
  <si>
    <t>65–72 года</t>
  </si>
  <si>
    <t>высшее, послевузовое образование</t>
  </si>
  <si>
    <t>среднее специальное образование</t>
  </si>
  <si>
    <t>профессионально-техническое образование</t>
  </si>
  <si>
    <t>общее среднее образование</t>
  </si>
  <si>
    <t>общее базовое, начальное</t>
  </si>
  <si>
    <t>В 2020 году пользователи чаще всего выходили в сеть для поиска информации (92,6 %), просмотра фильмов и прослушивания музыки (86,1 %), общения в социальных сетях (83,6 %). Наименее распространённые цели — образование (21,3 %), взаимодействие с государственными организациями (27,8 %) и покупка, заказ товаров (40,5 %).</t>
  </si>
  <si>
    <t xml:space="preserve">Показатели развития сети передачи данных  (на конец года) </t>
  </si>
  <si>
    <t>Количество абонентов всех видов передачи данных – всего, тысяч 
Subscribers of all types of data transmission – total, thousand</t>
  </si>
  <si>
    <t>в том числе: / of which: 
без выхода в сеть Интернет 
without Internet access</t>
  </si>
  <si>
    <t>с выходом в сеть Интернет /
with Internet access</t>
  </si>
  <si>
    <t>физических лиц /
individuals</t>
  </si>
  <si>
    <t>по коммутируемому доступу  dial-up access</t>
  </si>
  <si>
    <t>по стационарному доступу 
fixed access</t>
  </si>
  <si>
    <t xml:space="preserve">из него  по широкополосному доступу of which broadband access </t>
  </si>
  <si>
    <t xml:space="preserve">по беспроводному доступу  wireless access </t>
  </si>
  <si>
    <t>из него  по широкополосному доступу of which broadband access</t>
  </si>
  <si>
    <t>юридических лиц  и индивидуальных предпринимателей 
legal entities and individual entrepreneurs</t>
  </si>
  <si>
    <t>Пропускная способность внешних каналов доступа в сеть Интернет, Гбит/с (2019–2024)</t>
  </si>
  <si>
    <t>Анализ показывает устойчивый рост абонентской базы передачи данных: с 7528,3 тыс. в 2011 году до 14 525,9 тыс. в 2024 году (в 1,9 раза). Быстрее всего растет беспроводной широкополосный доступ; пропускная способность внешних каналов доступа в сеть Интернет увеличилась с 1551 Гбит/с (2019) до 4220 Гбит/с (2024).</t>
  </si>
  <si>
    <t>Анализ динамики показателя «количество абонентов всех видов передачи данных», тысяч</t>
  </si>
  <si>
    <t xml:space="preserve">Доступ физических лиц к услугам сети Интернет </t>
  </si>
  <si>
    <t>Количество абонентов сети 
Интернет / Internet subscribers</t>
  </si>
  <si>
    <t>Количество абонентов стационарного широкополосного доступа в сеть Интернет  / Fixed broadband Internet subscribers</t>
  </si>
  <si>
    <t>Количество абонентов беспроводного широкополосного доступа в сеть Интернет  / Wireless broadband Internet subscribers</t>
  </si>
  <si>
    <t>Анализ показывает, что число абонентов сети Интернет в расчете на 100 человек населения выросло со 64 в 2011 году до 133 в 2024 году, то есть более чем в два раза. Основным способом подключения стал беспроводной широкополосный доступ. Графически данная тенденция проиллюстрирована на рисунке:</t>
  </si>
  <si>
    <t>Списочная численность работников организаций в среднем за год, использовавших персональные компьютеры  (электронно-вычислительные машины) в 2014 и 2016 году в %</t>
  </si>
  <si>
    <t xml:space="preserve">Удельный вес списочной численности работников, использовавших персональные компьютеры (электронно-вычислительные машины) в списочной численности работников  </t>
  </si>
  <si>
    <t>Удельный вес списочной численности работников, использовавших персональные компьютеры, имеющие выход в сеть Интернет, в списочной численности работников, использовавших персональные копьютеры (электронно-вычислительные машины)</t>
  </si>
  <si>
    <t xml:space="preserve">Республика Беларусь  
Republic of Belarus </t>
  </si>
  <si>
    <t>Области и г.Минск: 
Region and Minsk city:</t>
  </si>
  <si>
    <t>Брестская / Brest</t>
  </si>
  <si>
    <t xml:space="preserve">Витебская / Vitebsk </t>
  </si>
  <si>
    <t xml:space="preserve">Гомельская / Gomel </t>
  </si>
  <si>
    <t xml:space="preserve">Гродненская / Grodno </t>
  </si>
  <si>
    <t>г. Минск / Minsk city</t>
  </si>
  <si>
    <t xml:space="preserve">Минская / Minsk </t>
  </si>
  <si>
    <t xml:space="preserve">Могилевская / Mogilev </t>
  </si>
  <si>
    <t>Данные характеризуют распространение персональных компьютеров в организациях: удельный вес работников, использовавших ПК, вырос с 26,6 % (2014) до 36,5 % (2020), а доля компьютеров с доступом в Интернет — с 58,2 до 73,4 %. Наиболее высокие значения — в г. Минске.</t>
  </si>
  <si>
    <t xml:space="preserve"> Списочная численность работников организаций, использовавших персональные компьютеры  (электронно-вычислительные машины) (на конец года; в процентах) (из сборника 2019)</t>
  </si>
  <si>
    <t xml:space="preserve">Удельный вес списочной численности работников, использовавших персональные компьютеры (электронновычислительные машины)  в списочной численности работников Share of payroll number  of employees who used personal computers (electronic computing machines) </t>
  </si>
  <si>
    <t>Удельный вес списочной численности работников, использовавших персональные компьютеры, имеющие выход в сеть Интернет, в списочной численности работников, использовавших персональные компьютеры (электронновычислительные машины)  Share of payroll number  of employees who used personal computers connected to the Internet in payroll number of employees  who used personal computers (electronic computing machines)</t>
  </si>
  <si>
    <t>Использование ИКТ в организациях в %</t>
  </si>
  <si>
    <t>Организации, использовавшие локальную вычислительную сеть</t>
  </si>
  <si>
    <t xml:space="preserve">Интернет / Internet </t>
  </si>
  <si>
    <t xml:space="preserve">Интранет / Intranet </t>
  </si>
  <si>
    <t>Экстранет / Extranet</t>
  </si>
  <si>
    <t xml:space="preserve">Организации, имевшие  веб-сайт  / Organisations with a website </t>
  </si>
  <si>
    <t>Организации, использовавшие облачные сервисы</t>
  </si>
  <si>
    <t>Анализ показывает практически полный охват организаций сетью Интернет: 99,3 % в 2024 году. Доля организаций с веб-сайтом выросла с 50,2 % в 2011 году до 71,0 % в 2024 году, использование облачных сервисов достигло 41,2 %. Графически данная тенденция проиллюстрирована на рисунке:</t>
  </si>
  <si>
    <t>Анализ динамики показателя «доля организаций, использовавших сеть Интернет», %</t>
  </si>
  <si>
    <t xml:space="preserve">Использование ИКТ в организациях  по видам экономической деятельности в 2020 году </t>
  </si>
  <si>
    <t>Организации, использовавшие Organisations that used</t>
  </si>
  <si>
    <t xml:space="preserve">Организации, имевшие  веб-сайт / Organisations with a  website </t>
  </si>
  <si>
    <t>локальные вычислительные сети / local area network</t>
  </si>
  <si>
    <t xml:space="preserve">электронную почту е-mail  </t>
  </si>
  <si>
    <t xml:space="preserve">Интернет /Internet </t>
  </si>
  <si>
    <t xml:space="preserve">Всего / Total </t>
  </si>
  <si>
    <t>В том числе: / of which:</t>
  </si>
  <si>
    <t>сельское, лесное и рыбное хозяйство / agriculture, forestry and fishery</t>
  </si>
  <si>
    <t>горнодобывающая промышленность / mining and quarrying</t>
  </si>
  <si>
    <t xml:space="preserve">обрабатывающая промышленность / manufacturing </t>
  </si>
  <si>
    <t>снабжение электроэнергией, газом, паром, горячей водой и кондиционированным воздухом / electricity, gas, steam, hot water and conditioned air supply</t>
  </si>
  <si>
    <t xml:space="preserve">водоснабжение; сбор, обработка и удаление отходов, деятельность  по ликвидации загрязнений / water supply; waste collection, treatment and disposal, pollution control activities </t>
  </si>
  <si>
    <t xml:space="preserve">строительство / construction </t>
  </si>
  <si>
    <t>оптовая и розничная торговля; ремонт автомобилей и мотоциклов / wholesale and retail trade, repair of motor vehicles and motorcycles</t>
  </si>
  <si>
    <t>транспортная деятельность, складирование, почтовая и курьерская деятельность / transport activities, warehousing, postal and courier activities</t>
  </si>
  <si>
    <t xml:space="preserve">услуги по временному проживанию и питанию / temporary accommodation and meal services </t>
  </si>
  <si>
    <t xml:space="preserve">информация и связь / information  and communication </t>
  </si>
  <si>
    <t xml:space="preserve">финансовая и страховая деятельность / financial and insurance activities </t>
  </si>
  <si>
    <t>операции с недвижимым имуществом / real estate</t>
  </si>
  <si>
    <t>профессиональная, научная и техническая деятельность / professional, scientific and technical activity</t>
  </si>
  <si>
    <t>образование / education</t>
  </si>
  <si>
    <t>высшее образование / higher education</t>
  </si>
  <si>
    <t>деятельность в сфере административных  и вспомогательных услуг / administrative and support service activities</t>
  </si>
  <si>
    <t>здравоохранение / healthcare</t>
  </si>
  <si>
    <t>творчество, спорт, развлечения и отдых
творчество, спорт, развлечения</t>
  </si>
  <si>
    <t>ремонт компьютеров, предметов личного пользования и бытовых изделий / repair of computers, personal items and household goods</t>
  </si>
  <si>
    <t>предоставление прочих  индивидуальных услуг / other individual service</t>
  </si>
  <si>
    <t>Анализ по видам экономической деятельности показывает почти стопроцентный доступ к Интернету во всех видах деятельности. Локальные вычислительные сети чаще используют в энергетике, финансах и образовании; облачные сервисы — в финансах, образовании и здравоохранении.</t>
  </si>
  <si>
    <t>1. Сектор ИКТ демонстрирует устойчивый рост масштабов деятельности. За 2011–2022 гг. число организаций сектора увеличилось с 3569 до 5437 единиц (на 52,3 %, среднегодовой темп прироста 3,9 %), выручка от реализации выросла с 1969,0 до 20 331,8 млн руб., то есть более чем в десять раз, а чистая прибыль увеличилась со 188,2 до 2265,1 млн руб. Среднегодовая численность работников достигла пика в 125,3 тыс. человек в 2021 году.</t>
  </si>
  <si>
    <t>2. Валовая добавленная стоимость сектора ИКТ выросла с 875,2 млн руб. в 2011 году до 13 438,9 млн руб. в 2024 году. Доля ВДС сектора ИКТ в ВВП последовательно повышалась с 2,8 % в 2011 году до 7,5 % в 2021 году, однако в 2022–2024 гг. снизилась до 5,4 %, что отражает влияние санкционных ограничений и оттока специалистов из экспортно ориентированных компаний сектора.</t>
  </si>
  <si>
    <t>3. Внешняя торговля услугами сектора ИКТ характеризуется устойчивым профицитом. Экспорт услуг за 2011–2020 гг. вырос с 456,4 до 2685,2 млн долл. США (в 5,9 раза), а его доля в общем объеме экспорта услуг республики увеличилась с 9,0 до 30,7 %, при этом около 93 % экспорта приходилось на компьютерные услуги. Импорт услуг в несколько раз уступает экспорту, тогда как торговля товарами ИКТ традиционно пассивна: импорт товаров (1296,1 млн долл. США в 2020 году) многократно превышает экспорт (404,9 млн долл. США).</t>
  </si>
  <si>
    <t>4. Парк высоких технологий является ключевым драйвером развития электронной экономики. Число организаций-резидентов за 2011–2020 гг. выросло со 102 до 962 (в 9,4 раза), объем отгруженной продукции — со 140,6 до 7035,6 млн руб. (в 50 раз), а доля резидентов в численности работников сектора ИКТ достигла 54,9 %. Финансовые результаты резидентов устойчивы: чистая прибыль в 2020 году составила 1665,1 млн руб. (рост в 4,9 раза к 2016 году), рентабельность продаж — 24,4 %; в 2020 году резиденты направили 463,9 млн руб. на цифровые технологии.</t>
  </si>
  <si>
    <t>5. Инфраструктура ИКТ и пользование цифровыми услугами продолжают развиваться. Количество абонентов передачи данных за 2011–2024 гг. увеличилось с 7528,3 до 14 525,9 тыс., объем потребленных данных вырос с 3977,4 Пбайт в 2019 году до 8692,0 Пбайт в 2024 году (в 2,2 раза), число абонентов сети Интернет в расчете на 100 человек населения — со 64 до 133. Сетью Интернет охвачено 99,3 % обследованных организаций (2024 год), веб-сайт имели 71,0 % организаций, облачные сервисы использовали 41,2 %. Вместе с тем сохраняется территориальная концентрация сектора: на г. Минск приходится около 69 % организаций сектора ИКТ и около 73 % валовой добавленной стоимости.</t>
  </si>
  <si>
    <t>Анализ динамики показателя «количество абонентов сети Интернет (на 100 человек населения)»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</si>
</sst>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b/>
      <sz val="11"/>
      <color theme="1"/>
      <name val="Calibri"/>
      <family val="2"/>
      <charset val="204"/>
      <scheme val="minor"/>
    </font>
    <font>
      <b/>
      <sz val="14"/>
      <color theme="1"/>
      <name val="Calibri"/>
      <family val="2"/>
      <charset val="204"/>
      <scheme val="minor"/>
    </font>
    <font>
      <sz val="10"/>
      <color theme="1"/>
      <name val="Calibri"/>
      <family val="2"/>
      <charset val="204"/>
      <scheme val="minor"/>
    </font>
    <font>
      <sz val="10"/>
      <color rgb="FF000000"/>
      <name val="Calibri"/>
      <family val="2"/>
      <charset val="204"/>
      <scheme val="minor"/>
    </font>
    <font>
      <i/>
      <sz val="10"/>
      <color rgb="FF000000"/>
      <name val="Calibri"/>
      <family val="2"/>
      <charset val="204"/>
      <scheme val="minor"/>
    </font>
    <font>
      <b/>
      <sz val="14"/>
      <color rgb="FF000000"/>
      <name val="Calibri"/>
      <family val="2"/>
      <charset val="204"/>
      <scheme val="minor"/>
    </font>
    <font>
      <sz val="10"/>
      <color rgb="FF000000"/>
      <name val="Arial"/>
      <family val="2"/>
      <charset val="204"/>
    </font>
    <font>
      <b/>
      <sz val="9"/>
      <color rgb="FF000000"/>
      <name val="Arial"/>
      <family val="2"/>
      <charset val="204"/>
    </font>
    <font>
      <sz val="12"/>
      <color rgb="FF000000"/>
      <name val="Calibri"/>
      <family val="2"/>
      <charset val="204"/>
      <scheme val="minor"/>
    </font>
    <font>
      <sz val="12"/>
      <color theme="1"/>
      <name val="Calibri"/>
      <family val="2"/>
      <charset val="204"/>
      <scheme val="minor"/>
    </font>
    <font>
      <b/>
      <sz val="12"/>
      <color rgb="FF000000"/>
      <name val="Calibri"/>
      <family val="2"/>
      <charset val="204"/>
      <scheme val="minor"/>
    </font>
    <font>
      <b/>
      <sz val="10"/>
      <color rgb="FF000000"/>
      <name val="Arial"/>
      <family val="2"/>
      <charset val="204"/>
    </font>
    <font>
      <sz val="10"/>
      <color rgb="FFFF0000"/>
      <name val="Calibri"/>
      <family val="2"/>
      <charset val="204"/>
      <scheme val="minor"/>
    </font>
    <font>
      <sz val="10"/>
      <name val="Arial"/>
      <family val="2"/>
      <charset val="204"/>
    </font>
    <font>
      <sz val="11"/>
      <color rgb="FF232C3E"/>
      <name val="Calibri"/>
    </font>
    <font>
      <b/>
      <sz val="11"/>
      <name val="Calibri"/>
    </font>
    <font>
      <b/>
      <sz val="12"/>
      <name val="Calibri"/>
    </font>
    <font>
      <b/>
      <sz val="13"/>
      <name val="Calibri"/>
    </font>
    <font>
      <i/>
      <sz val="11"/>
      <color rgb="FF6B7280"/>
      <name val="Calibri"/>
    </font>
    <font>
      <b/>
      <sz val="14"/>
      <name val="Calibri"/>
      <family val="2"/>
      <charset val="204"/>
    </font>
    <font>
      <u/>
      <sz val="14"/>
      <color rgb="FF2E5A88"/>
      <name val="Calibri"/>
      <family val="2"/>
      <charset val="204"/>
    </font>
    <font>
      <sz val="11"/>
      <color theme="2" tint="-9.9978637043366805E-2"/>
      <name val="Calibri"/>
      <family val="2"/>
      <scheme val="minor"/>
    </font>
    <font>
      <sz val="14"/>
      <color theme="1"/>
      <name val="Calibri"/>
      <family val="2"/>
      <scheme val="minor"/>
    </font>
    <font>
      <b/>
      <sz val="12"/>
      <name val="Calibri"/>
      <family val="2"/>
      <charset val="204"/>
    </font>
    <font>
      <b/>
      <sz val="11"/>
      <name val="Calibri"/>
      <family val="2"/>
      <charset val="204"/>
    </font>
    <font>
      <sz val="16"/>
      <color theme="1"/>
      <name val="Calibri"/>
      <family val="2"/>
      <scheme val="minor"/>
    </font>
    <font>
      <sz val="14"/>
      <color rgb="FF232C3E"/>
      <name val="Calibri"/>
      <family val="2"/>
      <charset val="204"/>
    </font>
    <font>
      <sz val="16"/>
      <color rgb="FF232C3E"/>
      <name val="Calibri"/>
    </font>
    <font>
      <sz val="13"/>
      <color rgb="FF232C3E"/>
      <name val="Calibri"/>
    </font>
    <font>
      <sz val="13"/>
      <name val="Calibri"/>
    </font>
    <font>
      <sz val="20"/>
      <color theme="1"/>
      <name val="Calibri"/>
      <family val="2"/>
      <charset val="204"/>
      <scheme val="minor"/>
    </font>
    <font>
      <sz val="13"/>
      <color rgb="FF232C3E"/>
      <name val="Calibri"/>
      <family val="2"/>
      <charset val="204"/>
    </font>
    <font>
      <sz val="16"/>
      <color rgb="FF232C3E"/>
      <name val="Calibri"/>
      <family val="2"/>
      <charset val="204"/>
    </font>
    <font>
      <sz val="11"/>
      <name val="Calibri"/>
    </font>
  </fonts>
  <fills count="12">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rgb="FF92D050"/>
        <bgColor indexed="64"/>
      </patternFill>
    </fill>
    <fill>
      <patternFill patternType="solid">
        <fgColor theme="0"/>
        <bgColor indexed="64"/>
      </patternFill>
    </fill>
    <fill>
      <patternFill patternType="solid">
        <fgColor rgb="FFD9D9D9"/>
      </patternFill>
    </fill>
    <fill>
      <patternFill patternType="solid">
        <fgColor rgb="FFF2F5FA"/>
      </patternFill>
    </fill>
    <fill>
      <patternFill patternType="solid">
        <fgColor rgb="FFD9E2F3"/>
      </patternFill>
    </fill>
    <fill>
      <patternFill patternType="solid">
        <fgColor theme="2" tint="-9.9978637043366805E-2"/>
        <bgColor indexed="64"/>
      </patternFill>
    </fill>
    <fill>
      <patternFill patternType="solid">
        <fgColor theme="2" tint="-9.9978637043366805E-2"/>
        <bgColor indexed="65"/>
      </patternFill>
    </fill>
    <fill>
      <patternFill patternType="solid">
        <fgColor theme="2" tint="-9.9978637043366805E-2"/>
        <bgColor indexed="65"/>
      </patternFill>
    </fill>
  </fills>
  <borders count="3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medium">
        <color indexed="64"/>
      </bottom>
      <diagonal/>
    </border>
    <border>
      <left/>
      <right/>
      <top/>
      <bottom style="thin">
        <color indexed="64"/>
      </bottom>
      <diagonal/>
    </border>
    <border>
      <left style="thin">
        <color rgb="FFB0B0B0"/>
      </left>
      <right style="thin">
        <color rgb="FFB0B0B0"/>
      </right>
      <top style="thin">
        <color rgb="FFB0B0B0"/>
      </top>
      <bottom style="thin">
        <color rgb="FFB0B0B0"/>
      </bottom>
      <diagonal/>
    </border>
    <border>
      <left style="thin">
        <color rgb="FFB0B0B0"/>
      </left>
      <right/>
      <top/>
      <bottom/>
      <diagonal/>
    </border>
    <border>
      <left/>
      <right style="thin">
        <color rgb="FFB0B0B0"/>
      </right>
      <top/>
      <bottom/>
      <diagonal/>
    </border>
    <border>
      <left/>
      <right/>
      <top style="thin">
        <color rgb="FFB0B0B0"/>
      </top>
      <bottom/>
      <diagonal/>
    </border>
    <border>
      <left/>
      <right style="thin">
        <color rgb="FFB0B0B0"/>
      </right>
      <top style="thin">
        <color rgb="FFB0B0B0"/>
      </top>
      <bottom/>
      <diagonal/>
    </border>
    <border>
      <left style="thin">
        <color rgb="FFB0B0B0"/>
      </left>
      <right/>
      <top/>
      <bottom style="thin">
        <color rgb="FFB0B0B0"/>
      </bottom>
      <diagonal/>
    </border>
    <border>
      <left/>
      <right/>
      <top/>
      <bottom style="thin">
        <color rgb="FFB0B0B0"/>
      </bottom>
      <diagonal/>
    </border>
    <border>
      <left/>
      <right style="thin">
        <color rgb="FFB0B0B0"/>
      </right>
      <top/>
      <bottom style="thin">
        <color rgb="FFB0B0B0"/>
      </bottom>
      <diagonal/>
    </border>
    <border>
      <left/>
      <right/>
      <top/>
      <bottom/>
      <diagonal/>
    </border>
    <border>
      <left style="thin">
        <color rgb="FFB0B0B0"/>
      </left>
      <right style="thin">
        <color rgb="FFB0B0B0"/>
      </right>
      <top style="thin">
        <color rgb="FFB0B0B0"/>
      </top>
      <bottom style="thin">
        <color rgb="FFB0B0B0"/>
      </bottom>
      <diagonal/>
    </border>
    <border>
      <left/>
      <right/>
      <top/>
      <bottom/>
      <diagonal/>
    </border>
    <border>
      <left/>
      <right/>
      <top/>
      <bottom/>
      <diagonal/>
    </border>
    <border>
      <left style="medium">
        <color indexed="64"/>
      </left>
      <right/>
      <top/>
      <bottom/>
      <diagonal/>
    </border>
  </borders>
  <cellStyleXfs count="3">
    <xf numFmtId="0" fontId="0" fillId="0" borderId="35"/>
    <xf numFmtId="0" fontId="4" fillId="0" borderId="35"/>
    <xf numFmtId="0" fontId="4" fillId="0" borderId="35"/>
  </cellStyleXfs>
  <cellXfs count="328">
    <xf numFmtId="0" fontId="0" fillId="0" borderId="0" xfId="0" applyBorder="1"/>
    <xf numFmtId="0" fontId="5" fillId="0" borderId="0" xfId="1" applyFont="1" applyBorder="1"/>
    <xf numFmtId="0" fontId="7" fillId="0" borderId="4" xfId="1" applyFont="1" applyBorder="1"/>
    <xf numFmtId="0" fontId="8" fillId="0" borderId="6" xfId="1" applyFont="1" applyBorder="1" applyAlignment="1">
      <alignment horizontal="justify" vertical="center" wrapText="1"/>
    </xf>
    <xf numFmtId="3" fontId="8" fillId="0" borderId="6" xfId="1" applyNumberFormat="1" applyFont="1" applyBorder="1" applyAlignment="1">
      <alignment horizontal="center" vertical="center" wrapText="1"/>
    </xf>
    <xf numFmtId="3" fontId="8" fillId="0" borderId="6" xfId="1" applyNumberFormat="1" applyFont="1" applyBorder="1" applyAlignment="1">
      <alignment horizontal="center" vertical="center"/>
    </xf>
    <xf numFmtId="3" fontId="8" fillId="2" borderId="6" xfId="1" applyNumberFormat="1" applyFont="1" applyFill="1" applyBorder="1" applyAlignment="1">
      <alignment horizontal="center" vertical="center"/>
    </xf>
    <xf numFmtId="0" fontId="8" fillId="0" borderId="7" xfId="1" applyFont="1" applyBorder="1" applyAlignment="1">
      <alignment horizontal="justify" vertical="center" wrapText="1"/>
    </xf>
    <xf numFmtId="164" fontId="8" fillId="0" borderId="7" xfId="1" applyNumberFormat="1" applyFont="1" applyBorder="1" applyAlignment="1">
      <alignment horizontal="center" vertical="center" wrapText="1"/>
    </xf>
    <xf numFmtId="164" fontId="8" fillId="0" borderId="7" xfId="1" applyNumberFormat="1" applyFont="1" applyBorder="1" applyAlignment="1">
      <alignment horizontal="center" vertical="center"/>
    </xf>
    <xf numFmtId="164" fontId="8" fillId="2" borderId="7" xfId="1" applyNumberFormat="1" applyFont="1" applyFill="1" applyBorder="1" applyAlignment="1">
      <alignment horizontal="center" vertical="center"/>
    </xf>
    <xf numFmtId="165" fontId="8" fillId="0" borderId="7" xfId="1" applyNumberFormat="1" applyFont="1" applyBorder="1" applyAlignment="1">
      <alignment horizontal="center" vertical="center"/>
    </xf>
    <xf numFmtId="0" fontId="8" fillId="2" borderId="7" xfId="1" applyFont="1" applyFill="1" applyBorder="1" applyAlignment="1">
      <alignment horizontal="center" vertical="center"/>
    </xf>
    <xf numFmtId="0" fontId="8" fillId="0" borderId="7" xfId="1" applyFont="1" applyBorder="1" applyAlignment="1">
      <alignment vertical="center" wrapText="1"/>
    </xf>
    <xf numFmtId="165" fontId="8" fillId="0" borderId="7" xfId="1" applyNumberFormat="1" applyFont="1" applyBorder="1" applyAlignment="1">
      <alignment horizontal="center" vertical="center" wrapText="1"/>
    </xf>
    <xf numFmtId="165" fontId="8" fillId="2" borderId="7" xfId="1" applyNumberFormat="1" applyFont="1" applyFill="1" applyBorder="1" applyAlignment="1">
      <alignment horizontal="center" vertical="center"/>
    </xf>
    <xf numFmtId="4" fontId="8" fillId="0" borderId="7" xfId="1" applyNumberFormat="1" applyFont="1" applyBorder="1" applyAlignment="1">
      <alignment horizontal="center" vertical="center" wrapText="1"/>
    </xf>
    <xf numFmtId="4" fontId="8" fillId="0" borderId="7" xfId="1" applyNumberFormat="1" applyFont="1" applyBorder="1" applyAlignment="1">
      <alignment horizontal="center" vertical="center"/>
    </xf>
    <xf numFmtId="4" fontId="8" fillId="2" borderId="7" xfId="1" applyNumberFormat="1" applyFont="1" applyFill="1" applyBorder="1" applyAlignment="1">
      <alignment horizontal="center" vertical="center"/>
    </xf>
    <xf numFmtId="0" fontId="8" fillId="0" borderId="7" xfId="1" applyFont="1" applyBorder="1" applyAlignment="1">
      <alignment horizontal="center" vertical="center" wrapText="1"/>
    </xf>
    <xf numFmtId="0" fontId="8" fillId="0" borderId="7" xfId="1" applyFont="1" applyBorder="1" applyAlignment="1">
      <alignment horizontal="center" vertical="center"/>
    </xf>
    <xf numFmtId="3" fontId="8" fillId="0" borderId="7" xfId="1" applyNumberFormat="1" applyFont="1" applyBorder="1" applyAlignment="1">
      <alignment horizontal="center" vertical="center" wrapText="1"/>
    </xf>
    <xf numFmtId="3" fontId="8" fillId="0" borderId="7" xfId="1" applyNumberFormat="1" applyFont="1" applyBorder="1" applyAlignment="1">
      <alignment horizontal="center" vertical="center"/>
    </xf>
    <xf numFmtId="3" fontId="8" fillId="2" borderId="7" xfId="1" applyNumberFormat="1" applyFont="1" applyFill="1" applyBorder="1" applyAlignment="1">
      <alignment horizontal="center" vertical="center"/>
    </xf>
    <xf numFmtId="0" fontId="8" fillId="0" borderId="7" xfId="1" applyFont="1" applyBorder="1" applyAlignment="1">
      <alignment horizontal="left" vertical="center" wrapText="1"/>
    </xf>
    <xf numFmtId="0" fontId="4" fillId="0" borderId="6" xfId="1" applyBorder="1"/>
    <xf numFmtId="0" fontId="4" fillId="0" borderId="6" xfId="1" applyBorder="1" applyAlignment="1">
      <alignment horizontal="center"/>
    </xf>
    <xf numFmtId="0" fontId="4" fillId="2" borderId="6" xfId="1" applyFill="1" applyBorder="1" applyAlignment="1">
      <alignment horizontal="center"/>
    </xf>
    <xf numFmtId="0" fontId="11" fillId="0" borderId="7" xfId="1" applyFont="1" applyBorder="1" applyAlignment="1">
      <alignment vertical="center" wrapText="1"/>
    </xf>
    <xf numFmtId="0" fontId="11" fillId="0" borderId="7" xfId="1" applyFont="1" applyBorder="1" applyAlignment="1">
      <alignment horizontal="center" vertical="center" wrapText="1"/>
    </xf>
    <xf numFmtId="4" fontId="11" fillId="0" borderId="7" xfId="1" applyNumberFormat="1" applyFont="1" applyBorder="1" applyAlignment="1">
      <alignment horizontal="center" vertical="center" wrapText="1"/>
    </xf>
    <xf numFmtId="4" fontId="11" fillId="2" borderId="7" xfId="1" applyNumberFormat="1" applyFont="1" applyFill="1" applyBorder="1" applyAlignment="1">
      <alignment horizontal="center" vertical="center" wrapText="1"/>
    </xf>
    <xf numFmtId="0" fontId="4" fillId="0" borderId="7" xfId="1" applyBorder="1" applyAlignment="1">
      <alignment horizontal="center" vertical="center"/>
    </xf>
    <xf numFmtId="0" fontId="4" fillId="2" borderId="7" xfId="1" applyFill="1" applyBorder="1" applyAlignment="1">
      <alignment horizontal="center" vertical="center"/>
    </xf>
    <xf numFmtId="0" fontId="4" fillId="0" borderId="7" xfId="1" applyBorder="1"/>
    <xf numFmtId="0" fontId="11" fillId="0" borderId="7" xfId="1" applyFont="1" applyBorder="1" applyAlignment="1">
      <alignment horizontal="center" vertical="center"/>
    </xf>
    <xf numFmtId="0" fontId="11" fillId="2" borderId="7" xfId="1" applyFont="1" applyFill="1" applyBorder="1" applyAlignment="1">
      <alignment horizontal="center" vertical="center" wrapText="1"/>
    </xf>
    <xf numFmtId="0" fontId="0" fillId="0" borderId="7" xfId="0" applyBorder="1"/>
    <xf numFmtId="4" fontId="0" fillId="0" borderId="7" xfId="0" applyNumberFormat="1" applyBorder="1"/>
    <xf numFmtId="0" fontId="4" fillId="0" borderId="6" xfId="1" applyBorder="1" applyAlignment="1">
      <alignment horizontal="center" vertical="center"/>
    </xf>
    <xf numFmtId="0" fontId="11" fillId="0" borderId="7" xfId="1" applyFont="1" applyBorder="1" applyAlignment="1">
      <alignment horizontal="left" vertical="center" wrapText="1"/>
    </xf>
    <xf numFmtId="3" fontId="11" fillId="0" borderId="7" xfId="1" applyNumberFormat="1" applyFont="1" applyBorder="1" applyAlignment="1">
      <alignment horizontal="center" vertical="center" wrapText="1"/>
    </xf>
    <xf numFmtId="3" fontId="11" fillId="0" borderId="7" xfId="1" applyNumberFormat="1" applyFont="1" applyBorder="1" applyAlignment="1">
      <alignment horizontal="center" vertical="center"/>
    </xf>
    <xf numFmtId="4" fontId="11" fillId="0" borderId="7" xfId="1" applyNumberFormat="1" applyFont="1" applyBorder="1" applyAlignment="1">
      <alignment horizontal="center" vertical="center"/>
    </xf>
    <xf numFmtId="0" fontId="11" fillId="3" borderId="7" xfId="1" applyFont="1" applyFill="1" applyBorder="1" applyAlignment="1">
      <alignment horizontal="center" vertical="center" wrapText="1"/>
    </xf>
    <xf numFmtId="3" fontId="0" fillId="0" borderId="7" xfId="0" applyNumberFormat="1" applyBorder="1"/>
    <xf numFmtId="0" fontId="4" fillId="0" borderId="7" xfId="1" applyBorder="1" applyAlignment="1">
      <alignment wrapText="1"/>
    </xf>
    <xf numFmtId="0" fontId="4" fillId="0" borderId="9" xfId="2" applyBorder="1"/>
    <xf numFmtId="0" fontId="4" fillId="2" borderId="10" xfId="2" applyFill="1" applyBorder="1"/>
    <xf numFmtId="0" fontId="11" fillId="0" borderId="6" xfId="2" applyFont="1" applyBorder="1" applyAlignment="1">
      <alignment wrapText="1"/>
    </xf>
    <xf numFmtId="4" fontId="11" fillId="0" borderId="6" xfId="2" applyNumberFormat="1" applyFont="1" applyBorder="1" applyAlignment="1">
      <alignment horizontal="center" vertical="center" wrapText="1"/>
    </xf>
    <xf numFmtId="4" fontId="11" fillId="2" borderId="6" xfId="2" applyNumberFormat="1" applyFont="1" applyFill="1" applyBorder="1" applyAlignment="1">
      <alignment horizontal="center" vertical="center" wrapText="1"/>
    </xf>
    <xf numFmtId="0" fontId="4" fillId="0" borderId="6" xfId="2" applyBorder="1"/>
    <xf numFmtId="0" fontId="11" fillId="0" borderId="7" xfId="2" applyFont="1" applyBorder="1" applyAlignment="1">
      <alignment horizontal="right" wrapText="1"/>
    </xf>
    <xf numFmtId="4" fontId="11" fillId="0" borderId="7" xfId="2" applyNumberFormat="1" applyFont="1" applyBorder="1" applyAlignment="1">
      <alignment horizontal="center" vertical="center" wrapText="1"/>
    </xf>
    <xf numFmtId="4" fontId="11" fillId="2" borderId="7" xfId="2" applyNumberFormat="1" applyFont="1" applyFill="1" applyBorder="1" applyAlignment="1">
      <alignment horizontal="center" vertical="center" wrapText="1"/>
    </xf>
    <xf numFmtId="0" fontId="4" fillId="0" borderId="7" xfId="2" applyBorder="1"/>
    <xf numFmtId="0" fontId="11" fillId="0" borderId="7" xfId="2" applyFont="1" applyBorder="1" applyAlignment="1">
      <alignment wrapText="1"/>
    </xf>
    <xf numFmtId="0" fontId="4" fillId="0" borderId="7" xfId="2" applyBorder="1" applyAlignment="1">
      <alignment horizontal="center" vertical="center"/>
    </xf>
    <xf numFmtId="0" fontId="4" fillId="2" borderId="7" xfId="2" applyFill="1" applyBorder="1" applyAlignment="1">
      <alignment horizontal="center" vertical="center"/>
    </xf>
    <xf numFmtId="0" fontId="11" fillId="0" borderId="7" xfId="2" applyFont="1" applyBorder="1" applyAlignment="1">
      <alignment horizontal="center" vertical="center" wrapText="1"/>
    </xf>
    <xf numFmtId="0" fontId="11" fillId="0" borderId="7" xfId="2" applyFont="1" applyBorder="1" applyAlignment="1">
      <alignment horizontal="center" vertical="center"/>
    </xf>
    <xf numFmtId="0" fontId="11" fillId="2" borderId="7" xfId="2" applyFont="1" applyFill="1" applyBorder="1" applyAlignment="1">
      <alignment horizontal="center" vertical="center"/>
    </xf>
    <xf numFmtId="4" fontId="11" fillId="0" borderId="7" xfId="2" applyNumberFormat="1" applyFont="1" applyBorder="1" applyAlignment="1">
      <alignment horizontal="center" vertical="center"/>
    </xf>
    <xf numFmtId="0" fontId="4" fillId="2" borderId="11" xfId="2" applyFill="1" applyBorder="1"/>
    <xf numFmtId="4" fontId="4" fillId="0" borderId="12" xfId="2" applyNumberFormat="1" applyBorder="1"/>
    <xf numFmtId="0" fontId="4" fillId="0" borderId="13" xfId="2" applyBorder="1"/>
    <xf numFmtId="4" fontId="4" fillId="0" borderId="13" xfId="2" applyNumberFormat="1" applyBorder="1"/>
    <xf numFmtId="165" fontId="4" fillId="0" borderId="13" xfId="2" applyNumberFormat="1" applyBorder="1"/>
    <xf numFmtId="0" fontId="4" fillId="2" borderId="14" xfId="2" applyFill="1" applyBorder="1"/>
    <xf numFmtId="0" fontId="13" fillId="0" borderId="9" xfId="1" applyFont="1" applyBorder="1" applyAlignment="1">
      <alignment horizontal="center" vertical="center"/>
    </xf>
    <xf numFmtId="0" fontId="14" fillId="0" borderId="6" xfId="1" applyFont="1" applyBorder="1" applyAlignment="1">
      <alignment wrapText="1"/>
    </xf>
    <xf numFmtId="4" fontId="13" fillId="0" borderId="6" xfId="1" applyNumberFormat="1" applyFont="1" applyBorder="1" applyAlignment="1">
      <alignment horizontal="center" vertical="center" wrapText="1"/>
    </xf>
    <xf numFmtId="4" fontId="13" fillId="0" borderId="6" xfId="1" applyNumberFormat="1" applyFont="1" applyBorder="1" applyAlignment="1">
      <alignment horizontal="center" vertical="center"/>
    </xf>
    <xf numFmtId="4" fontId="13" fillId="2" borderId="6" xfId="1" applyNumberFormat="1" applyFont="1" applyFill="1" applyBorder="1" applyAlignment="1">
      <alignment horizontal="center" vertical="center"/>
    </xf>
    <xf numFmtId="0" fontId="14" fillId="0" borderId="7" xfId="1" applyFont="1" applyBorder="1" applyAlignment="1">
      <alignment wrapText="1"/>
    </xf>
    <xf numFmtId="0" fontId="13" fillId="0" borderId="7" xfId="1" applyFont="1" applyBorder="1" applyAlignment="1">
      <alignment horizontal="center" vertical="center" wrapText="1"/>
    </xf>
    <xf numFmtId="0" fontId="13" fillId="0" borderId="7" xfId="1" applyFont="1" applyBorder="1" applyAlignment="1">
      <alignment horizontal="center" vertical="center"/>
    </xf>
    <xf numFmtId="4" fontId="13" fillId="2" borderId="7" xfId="1" applyNumberFormat="1" applyFont="1" applyFill="1" applyBorder="1" applyAlignment="1">
      <alignment horizontal="center" vertical="center"/>
    </xf>
    <xf numFmtId="4" fontId="13" fillId="0" borderId="7" xfId="1" applyNumberFormat="1" applyFont="1" applyBorder="1" applyAlignment="1">
      <alignment horizontal="center" vertical="center" wrapText="1"/>
    </xf>
    <xf numFmtId="4" fontId="13" fillId="0" borderId="7" xfId="1" applyNumberFormat="1" applyFont="1" applyBorder="1" applyAlignment="1">
      <alignment horizontal="center" vertical="center"/>
    </xf>
    <xf numFmtId="0" fontId="13" fillId="2" borderId="7" xfId="1" applyFont="1" applyFill="1" applyBorder="1" applyAlignment="1">
      <alignment horizontal="center" vertical="center"/>
    </xf>
    <xf numFmtId="0" fontId="13" fillId="0" borderId="7" xfId="1" applyFont="1" applyBorder="1" applyAlignment="1">
      <alignment vertical="center" wrapText="1"/>
    </xf>
    <xf numFmtId="0" fontId="13" fillId="0" borderId="7" xfId="1" applyFont="1" applyBorder="1" applyAlignment="1">
      <alignment horizontal="center"/>
    </xf>
    <xf numFmtId="0" fontId="13" fillId="0" borderId="7" xfId="1" applyFont="1" applyBorder="1" applyAlignment="1">
      <alignment horizontal="center" wrapText="1"/>
    </xf>
    <xf numFmtId="0" fontId="14" fillId="0" borderId="7" xfId="1" applyFont="1" applyBorder="1" applyAlignment="1">
      <alignment horizontal="left" wrapText="1"/>
    </xf>
    <xf numFmtId="0" fontId="3" fillId="0" borderId="9" xfId="1" applyFont="1" applyBorder="1"/>
    <xf numFmtId="0" fontId="3" fillId="0" borderId="10" xfId="1" applyFont="1" applyBorder="1" applyAlignment="1">
      <alignment horizontal="center" vertical="center"/>
    </xf>
    <xf numFmtId="0" fontId="3" fillId="2" borderId="10" xfId="1" applyFont="1" applyFill="1" applyBorder="1" applyAlignment="1">
      <alignment horizontal="center" vertical="center"/>
    </xf>
    <xf numFmtId="0" fontId="3" fillId="0" borderId="11" xfId="1" applyFont="1" applyBorder="1" applyAlignment="1">
      <alignment horizontal="center" vertical="center"/>
    </xf>
    <xf numFmtId="0" fontId="3" fillId="0" borderId="15" xfId="1" applyFont="1" applyBorder="1" applyAlignment="1">
      <alignment horizontal="center" vertical="center"/>
    </xf>
    <xf numFmtId="0" fontId="3" fillId="0" borderId="0" xfId="1" applyFont="1" applyBorder="1"/>
    <xf numFmtId="0" fontId="8" fillId="0" borderId="6" xfId="1" applyFont="1" applyBorder="1" applyAlignment="1">
      <alignment vertical="center" wrapText="1"/>
    </xf>
    <xf numFmtId="3" fontId="8" fillId="2" borderId="6" xfId="1" applyNumberFormat="1" applyFont="1" applyFill="1" applyBorder="1" applyAlignment="1">
      <alignment horizontal="center" vertical="center" wrapText="1"/>
    </xf>
    <xf numFmtId="3" fontId="8" fillId="0" borderId="12" xfId="1" applyNumberFormat="1" applyFont="1" applyBorder="1" applyAlignment="1">
      <alignment horizontal="center" vertical="center" wrapText="1"/>
    </xf>
    <xf numFmtId="3" fontId="0" fillId="0" borderId="16" xfId="0" applyNumberFormat="1" applyBorder="1" applyAlignment="1">
      <alignment horizontal="center" vertical="center"/>
    </xf>
    <xf numFmtId="0" fontId="8" fillId="0" borderId="7" xfId="1" applyFont="1" applyBorder="1" applyAlignment="1">
      <alignment horizontal="right" vertical="center" wrapText="1"/>
    </xf>
    <xf numFmtId="0" fontId="3" fillId="0" borderId="7" xfId="1" applyFont="1" applyBorder="1" applyAlignment="1">
      <alignment horizontal="center" vertical="center"/>
    </xf>
    <xf numFmtId="0" fontId="3" fillId="2" borderId="7" xfId="1" applyFont="1" applyFill="1" applyBorder="1" applyAlignment="1">
      <alignment horizontal="center" vertical="center"/>
    </xf>
    <xf numFmtId="0" fontId="3" fillId="0" borderId="13" xfId="1" applyFont="1" applyBorder="1"/>
    <xf numFmtId="0" fontId="8" fillId="0" borderId="7" xfId="1" applyFont="1" applyBorder="1" applyAlignment="1">
      <alignment horizontal="right" vertical="center" wrapText="1" indent="1"/>
    </xf>
    <xf numFmtId="3" fontId="8" fillId="2" borderId="7" xfId="1" applyNumberFormat="1" applyFont="1" applyFill="1" applyBorder="1" applyAlignment="1">
      <alignment horizontal="center" vertical="center" wrapText="1"/>
    </xf>
    <xf numFmtId="3" fontId="8" fillId="0" borderId="13" xfId="1" applyNumberFormat="1" applyFont="1" applyBorder="1" applyAlignment="1">
      <alignment horizontal="center" vertical="center" wrapText="1"/>
    </xf>
    <xf numFmtId="0" fontId="0" fillId="0" borderId="7" xfId="0" applyBorder="1" applyAlignment="1">
      <alignment horizontal="center" vertical="center"/>
    </xf>
    <xf numFmtId="3" fontId="0" fillId="0" borderId="7" xfId="0" applyNumberFormat="1" applyBorder="1" applyAlignment="1">
      <alignment horizontal="center" vertical="center"/>
    </xf>
    <xf numFmtId="0" fontId="8" fillId="0" borderId="7" xfId="1" applyFont="1" applyBorder="1" applyAlignment="1">
      <alignment horizontal="right" wrapText="1"/>
    </xf>
    <xf numFmtId="0" fontId="9" fillId="0" borderId="0" xfId="1" applyFont="1" applyBorder="1"/>
    <xf numFmtId="0" fontId="4" fillId="0" borderId="0" xfId="1" applyBorder="1"/>
    <xf numFmtId="0" fontId="11" fillId="2" borderId="7" xfId="1" applyFont="1" applyFill="1" applyBorder="1" applyAlignment="1">
      <alignment horizontal="center" vertical="center"/>
    </xf>
    <xf numFmtId="0" fontId="4" fillId="5" borderId="6" xfId="1" applyFill="1" applyBorder="1" applyAlignment="1">
      <alignment horizontal="center"/>
    </xf>
    <xf numFmtId="0" fontId="11" fillId="5" borderId="7" xfId="1" applyFont="1" applyFill="1" applyBorder="1" applyAlignment="1">
      <alignment horizontal="center" vertical="center" wrapText="1"/>
    </xf>
    <xf numFmtId="0" fontId="11" fillId="5" borderId="7" xfId="1" applyFont="1" applyFill="1" applyBorder="1" applyAlignment="1">
      <alignment horizontal="center" vertical="center"/>
    </xf>
    <xf numFmtId="0" fontId="4" fillId="0" borderId="0" xfId="1" applyBorder="1" applyAlignment="1">
      <alignment wrapText="1"/>
    </xf>
    <xf numFmtId="0" fontId="4" fillId="0" borderId="6" xfId="1" applyBorder="1" applyAlignment="1">
      <alignment wrapText="1"/>
    </xf>
    <xf numFmtId="0" fontId="4" fillId="2" borderId="6" xfId="1" applyFill="1" applyBorder="1" applyAlignment="1">
      <alignment horizontal="center" vertical="center"/>
    </xf>
    <xf numFmtId="0" fontId="4" fillId="5" borderId="6" xfId="1" applyFill="1" applyBorder="1" applyAlignment="1">
      <alignment horizontal="center" vertical="center"/>
    </xf>
    <xf numFmtId="0" fontId="16" fillId="2" borderId="7" xfId="1" applyFont="1" applyFill="1" applyBorder="1" applyAlignment="1">
      <alignment horizontal="center" vertical="center" wrapText="1"/>
    </xf>
    <xf numFmtId="0" fontId="16" fillId="2" borderId="7" xfId="1" applyFont="1" applyFill="1" applyBorder="1" applyAlignment="1">
      <alignment horizontal="center" vertical="center"/>
    </xf>
    <xf numFmtId="0" fontId="16" fillId="5" borderId="7" xfId="1" applyFont="1" applyFill="1" applyBorder="1" applyAlignment="1">
      <alignment horizontal="center" vertical="center" wrapText="1"/>
    </xf>
    <xf numFmtId="0" fontId="16" fillId="5" borderId="7" xfId="1" applyFont="1" applyFill="1" applyBorder="1" applyAlignment="1">
      <alignment horizontal="center" vertical="center"/>
    </xf>
    <xf numFmtId="0" fontId="2" fillId="0" borderId="0" xfId="1" applyFont="1" applyBorder="1"/>
    <xf numFmtId="0" fontId="5" fillId="0" borderId="0" xfId="1" applyFont="1" applyBorder="1" applyAlignment="1">
      <alignment vertical="center"/>
    </xf>
    <xf numFmtId="0" fontId="2" fillId="0" borderId="6" xfId="1" applyFont="1" applyBorder="1"/>
    <xf numFmtId="0" fontId="2" fillId="0" borderId="6" xfId="1" applyFont="1" applyBorder="1" applyAlignment="1">
      <alignment horizontal="center" vertical="center"/>
    </xf>
    <xf numFmtId="0" fontId="2" fillId="2" borderId="6" xfId="1" applyFont="1" applyFill="1" applyBorder="1" applyAlignment="1">
      <alignment horizontal="center" vertical="center"/>
    </xf>
    <xf numFmtId="0" fontId="8" fillId="0" borderId="7" xfId="1" applyFont="1" applyBorder="1"/>
    <xf numFmtId="0" fontId="8" fillId="2" borderId="7" xfId="1" applyFont="1" applyFill="1" applyBorder="1" applyAlignment="1">
      <alignment horizontal="center" vertical="center" wrapText="1"/>
    </xf>
    <xf numFmtId="0" fontId="8" fillId="0" borderId="7" xfId="1" applyFont="1" applyBorder="1" applyAlignment="1">
      <alignment horizontal="right" vertical="center"/>
    </xf>
    <xf numFmtId="0" fontId="2" fillId="0" borderId="7" xfId="1" applyFont="1" applyBorder="1" applyAlignment="1">
      <alignment horizontal="center" vertical="center"/>
    </xf>
    <xf numFmtId="0" fontId="2" fillId="2" borderId="7" xfId="1" applyFont="1" applyFill="1" applyBorder="1" applyAlignment="1">
      <alignment horizontal="center" vertical="center"/>
    </xf>
    <xf numFmtId="0" fontId="2" fillId="0" borderId="7" xfId="1" applyFont="1" applyBorder="1" applyAlignment="1">
      <alignment horizontal="center"/>
    </xf>
    <xf numFmtId="0" fontId="17" fillId="0" borderId="7" xfId="1" applyFont="1" applyBorder="1" applyAlignment="1">
      <alignment wrapText="1"/>
    </xf>
    <xf numFmtId="0" fontId="7" fillId="0" borderId="0" xfId="1" applyFont="1" applyBorder="1"/>
    <xf numFmtId="0" fontId="2" fillId="0" borderId="7" xfId="1" applyFont="1" applyBorder="1"/>
    <xf numFmtId="0" fontId="18" fillId="2" borderId="7" xfId="1" applyFont="1" applyFill="1" applyBorder="1" applyAlignment="1">
      <alignment vertical="center" wrapText="1"/>
    </xf>
    <xf numFmtId="0" fontId="11" fillId="0" borderId="12" xfId="1" applyFont="1" applyBorder="1" applyAlignment="1">
      <alignment horizontal="center" vertical="center" wrapText="1"/>
    </xf>
    <xf numFmtId="0" fontId="11" fillId="0" borderId="20" xfId="1" applyFont="1" applyBorder="1" applyAlignment="1">
      <alignment horizontal="center" vertical="center" wrapText="1"/>
    </xf>
    <xf numFmtId="0" fontId="0" fillId="0" borderId="21" xfId="0" applyBorder="1"/>
    <xf numFmtId="0" fontId="0" fillId="0" borderId="22" xfId="0" applyBorder="1"/>
    <xf numFmtId="0" fontId="4" fillId="0" borderId="13" xfId="1" applyBorder="1" applyAlignment="1">
      <alignment wrapText="1"/>
    </xf>
    <xf numFmtId="2" fontId="11" fillId="0" borderId="7" xfId="1" applyNumberFormat="1" applyFont="1" applyBorder="1" applyAlignment="1">
      <alignment horizontal="center" vertical="center" wrapText="1"/>
    </xf>
    <xf numFmtId="0" fontId="4" fillId="2" borderId="13" xfId="1" applyFill="1" applyBorder="1" applyAlignment="1">
      <alignment wrapText="1"/>
    </xf>
    <xf numFmtId="2" fontId="4" fillId="2" borderId="7" xfId="1" applyNumberFormat="1" applyFill="1" applyBorder="1" applyAlignment="1">
      <alignment horizontal="center" vertical="center"/>
    </xf>
    <xf numFmtId="0" fontId="4" fillId="0" borderId="13" xfId="1" applyBorder="1"/>
    <xf numFmtId="0" fontId="11" fillId="0" borderId="13" xfId="1" applyFont="1" applyBorder="1"/>
    <xf numFmtId="0" fontId="4" fillId="0" borderId="8" xfId="1" applyBorder="1"/>
    <xf numFmtId="0" fontId="11" fillId="0" borderId="13" xfId="1" applyFont="1" applyBorder="1" applyAlignment="1">
      <alignment horizontal="center" vertical="center" wrapText="1"/>
    </xf>
    <xf numFmtId="0" fontId="11" fillId="0" borderId="17" xfId="1" applyFont="1" applyBorder="1" applyAlignment="1">
      <alignment horizontal="center" vertical="center" wrapText="1"/>
    </xf>
    <xf numFmtId="165" fontId="11" fillId="0" borderId="7" xfId="1" applyNumberFormat="1" applyFont="1" applyBorder="1" applyAlignment="1">
      <alignment horizontal="center" vertical="center" wrapText="1"/>
    </xf>
    <xf numFmtId="0" fontId="4" fillId="2" borderId="7" xfId="1" applyFill="1" applyBorder="1" applyAlignment="1">
      <alignment wrapText="1"/>
    </xf>
    <xf numFmtId="165" fontId="11" fillId="0" borderId="7" xfId="1" applyNumberFormat="1" applyFont="1" applyBorder="1" applyAlignment="1">
      <alignment horizontal="center" vertical="center"/>
    </xf>
    <xf numFmtId="0" fontId="11" fillId="0" borderId="7" xfId="1" applyFont="1" applyBorder="1"/>
    <xf numFmtId="4" fontId="0" fillId="0" borderId="7" xfId="0" applyNumberFormat="1" applyBorder="1" applyAlignment="1">
      <alignment horizontal="center" vertical="center"/>
    </xf>
    <xf numFmtId="4" fontId="13" fillId="0" borderId="12" xfId="1" applyNumberFormat="1" applyFont="1" applyBorder="1" applyAlignment="1">
      <alignment horizontal="center" vertical="center" wrapText="1"/>
    </xf>
    <xf numFmtId="0" fontId="13" fillId="0" borderId="13" xfId="1" applyFont="1" applyBorder="1" applyAlignment="1">
      <alignment horizontal="center" vertical="center" wrapText="1"/>
    </xf>
    <xf numFmtId="4" fontId="13" fillId="0" borderId="13" xfId="1" applyNumberFormat="1" applyFont="1" applyBorder="1" applyAlignment="1">
      <alignment horizontal="center" vertical="center" wrapText="1"/>
    </xf>
    <xf numFmtId="0" fontId="14" fillId="0" borderId="7" xfId="1" applyFont="1" applyBorder="1" applyAlignment="1">
      <alignment horizontal="center" vertical="center"/>
    </xf>
    <xf numFmtId="0" fontId="7" fillId="0" borderId="7" xfId="1" applyFont="1" applyBorder="1" applyAlignment="1">
      <alignment horizontal="center" vertical="center"/>
    </xf>
    <xf numFmtId="0" fontId="1" fillId="0" borderId="7" xfId="1" applyFont="1" applyBorder="1"/>
    <xf numFmtId="0" fontId="4" fillId="0" borderId="5" xfId="1" applyBorder="1" applyAlignment="1">
      <alignment horizontal="center" vertical="center"/>
    </xf>
    <xf numFmtId="0" fontId="4" fillId="2" borderId="5" xfId="1" applyFill="1" applyBorder="1" applyAlignment="1">
      <alignment horizontal="center" vertical="center"/>
    </xf>
    <xf numFmtId="0" fontId="4" fillId="2" borderId="23" xfId="1" applyFill="1" applyBorder="1" applyAlignment="1">
      <alignment horizontal="center" vertical="center"/>
    </xf>
    <xf numFmtId="0" fontId="4" fillId="0" borderId="7" xfId="1" applyBorder="1" applyAlignment="1">
      <alignment vertical="center"/>
    </xf>
    <xf numFmtId="0" fontId="0" fillId="0" borderId="7" xfId="0" applyBorder="1" applyAlignment="1">
      <alignment vertical="center"/>
    </xf>
    <xf numFmtId="2" fontId="4" fillId="0" borderId="7" xfId="1" applyNumberFormat="1" applyBorder="1" applyAlignment="1">
      <alignment horizontal="center" vertical="center"/>
    </xf>
    <xf numFmtId="0" fontId="14" fillId="0" borderId="10" xfId="1" applyFont="1" applyBorder="1" applyAlignment="1">
      <alignment horizontal="center" vertical="center"/>
    </xf>
    <xf numFmtId="0" fontId="14" fillId="2" borderId="10" xfId="1" applyFont="1" applyFill="1" applyBorder="1" applyAlignment="1">
      <alignment horizontal="center" vertical="center"/>
    </xf>
    <xf numFmtId="0" fontId="14" fillId="0" borderId="11" xfId="1" applyFont="1" applyBorder="1" applyAlignment="1">
      <alignment horizontal="center" vertical="center"/>
    </xf>
    <xf numFmtId="0" fontId="4" fillId="3" borderId="7" xfId="1" applyFill="1" applyBorder="1" applyAlignment="1">
      <alignment horizontal="center" vertical="center"/>
    </xf>
    <xf numFmtId="0" fontId="4" fillId="3" borderId="13" xfId="1" applyFill="1" applyBorder="1" applyAlignment="1">
      <alignment horizontal="center" vertical="center"/>
    </xf>
    <xf numFmtId="0" fontId="0" fillId="0" borderId="6" xfId="0" applyBorder="1" applyAlignment="1">
      <alignment horizontal="center" vertical="center"/>
    </xf>
    <xf numFmtId="0" fontId="22" fillId="0" borderId="0" xfId="0" applyFont="1" applyBorder="1"/>
    <xf numFmtId="0" fontId="23" fillId="0" borderId="0" xfId="0" applyFont="1" applyBorder="1"/>
    <xf numFmtId="0" fontId="20" fillId="8" borderId="25" xfId="0" applyFont="1" applyFill="1" applyBorder="1" applyAlignment="1">
      <alignment horizontal="center" vertical="center" wrapText="1"/>
    </xf>
    <xf numFmtId="0" fontId="0" fillId="0" borderId="25" xfId="0" applyBorder="1" applyAlignment="1">
      <alignment horizontal="left" vertical="center" wrapText="1"/>
    </xf>
    <xf numFmtId="165" fontId="0" fillId="0" borderId="0" xfId="0" applyNumberFormat="1" applyBorder="1" applyAlignment="1">
      <alignment horizontal="center"/>
    </xf>
    <xf numFmtId="164" fontId="0" fillId="0" borderId="25" xfId="0" applyNumberFormat="1" applyBorder="1" applyAlignment="1">
      <alignment horizontal="center"/>
    </xf>
    <xf numFmtId="165" fontId="0" fillId="0" borderId="25" xfId="0" applyNumberFormat="1" applyBorder="1" applyAlignment="1">
      <alignment horizontal="center"/>
    </xf>
    <xf numFmtId="0" fontId="21" fillId="0" borderId="0" xfId="0" applyFont="1" applyBorder="1"/>
    <xf numFmtId="3" fontId="0" fillId="0" borderId="25" xfId="0" applyNumberFormat="1" applyBorder="1" applyAlignment="1">
      <alignment horizontal="center"/>
    </xf>
    <xf numFmtId="0" fontId="0" fillId="0" borderId="0" xfId="0" applyBorder="1" applyAlignment="1">
      <alignment horizontal="left" vertical="center" wrapText="1"/>
    </xf>
    <xf numFmtId="0" fontId="24" fillId="8" borderId="25" xfId="0" applyFont="1" applyFill="1" applyBorder="1" applyAlignment="1">
      <alignment horizontal="center" vertical="center" wrapText="1"/>
    </xf>
    <xf numFmtId="0" fontId="25" fillId="0" borderId="25" xfId="0" applyFont="1" applyBorder="1"/>
    <xf numFmtId="0" fontId="20" fillId="8" borderId="7" xfId="0" applyFont="1" applyFill="1" applyBorder="1" applyAlignment="1">
      <alignment horizontal="center" vertical="center" wrapText="1"/>
    </xf>
    <xf numFmtId="0" fontId="0" fillId="0" borderId="7" xfId="0" applyBorder="1" applyAlignment="1">
      <alignment horizontal="left" vertical="center" wrapText="1"/>
    </xf>
    <xf numFmtId="165" fontId="27" fillId="0" borderId="7" xfId="0" applyNumberFormat="1" applyFont="1" applyBorder="1" applyAlignment="1">
      <alignment horizontal="center" vertical="center"/>
    </xf>
    <xf numFmtId="0" fontId="27" fillId="0" borderId="7" xfId="0" applyFont="1" applyBorder="1" applyAlignment="1">
      <alignment horizontal="center" vertical="center"/>
    </xf>
    <xf numFmtId="0" fontId="29" fillId="0" borderId="7" xfId="0" applyFont="1" applyBorder="1" applyAlignment="1">
      <alignment horizontal="left" vertical="center" wrapText="1"/>
    </xf>
    <xf numFmtId="164" fontId="0" fillId="0" borderId="7" xfId="0" applyNumberFormat="1" applyBorder="1" applyAlignment="1">
      <alignment horizontal="center"/>
    </xf>
    <xf numFmtId="165" fontId="0" fillId="0" borderId="7" xfId="0" applyNumberFormat="1" applyBorder="1" applyAlignment="1">
      <alignment horizontal="center"/>
    </xf>
    <xf numFmtId="0" fontId="32" fillId="0" borderId="33" xfId="0" applyFont="1" applyBorder="1" applyAlignment="1">
      <alignment horizontal="left" vertical="center"/>
    </xf>
    <xf numFmtId="0" fontId="0" fillId="0" borderId="33" xfId="0" applyBorder="1"/>
    <xf numFmtId="0" fontId="34" fillId="0" borderId="0" xfId="0" applyFont="1" applyBorder="1" applyAlignment="1">
      <alignment vertical="top" wrapText="1"/>
    </xf>
    <xf numFmtId="0" fontId="17" fillId="0" borderId="33" xfId="1" applyFont="1" applyBorder="1" applyAlignment="1">
      <alignment wrapText="1"/>
    </xf>
    <xf numFmtId="0" fontId="2" fillId="0" borderId="33" xfId="1" applyFont="1" applyBorder="1"/>
    <xf numFmtId="0" fontId="1" fillId="0" borderId="33" xfId="1" applyFont="1" applyBorder="1"/>
    <xf numFmtId="0" fontId="2" fillId="0" borderId="33" xfId="1" applyFont="1" applyBorder="1" applyAlignment="1">
      <alignment horizontal="center"/>
    </xf>
    <xf numFmtId="0" fontId="0" fillId="9" borderId="0" xfId="0" applyFill="1" applyBorder="1"/>
    <xf numFmtId="164" fontId="0" fillId="0" borderId="7" xfId="0" applyNumberFormat="1" applyBorder="1" applyAlignment="1">
      <alignment horizontal="left" vertical="center"/>
    </xf>
    <xf numFmtId="165" fontId="0" fillId="0" borderId="7" xfId="0" applyNumberFormat="1" applyBorder="1" applyAlignment="1">
      <alignment horizontal="left" vertical="center"/>
    </xf>
    <xf numFmtId="4" fontId="4" fillId="0" borderId="7" xfId="1" applyNumberFormat="1" applyBorder="1" applyAlignment="1">
      <alignment horizontal="center" vertical="center"/>
    </xf>
    <xf numFmtId="0" fontId="38" fillId="0" borderId="35" xfId="0" applyFont="1"/>
    <xf numFmtId="0" fontId="38" fillId="0" borderId="35" xfId="0" applyFont="1" applyAlignment="1">
      <alignment horizontal="center" vertical="center" wrapText="1"/>
    </xf>
    <xf numFmtId="0" fontId="38" fillId="0" borderId="35" xfId="0" applyFont="1" applyAlignment="1">
      <alignment horizontal="left" vertical="center" wrapText="1"/>
    </xf>
    <xf numFmtId="165" fontId="38" fillId="0" borderId="35" xfId="0" applyNumberFormat="1" applyFont="1" applyAlignment="1">
      <alignment horizontal="center"/>
    </xf>
    <xf numFmtId="0" fontId="0" fillId="6" borderId="33" xfId="0" applyFill="1" applyBorder="1" applyAlignment="1">
      <alignment horizontal="center"/>
    </xf>
    <xf numFmtId="0" fontId="21" fillId="0" borderId="35" xfId="0" applyFont="1" applyAlignment="1">
      <alignment horizontal="center" wrapText="1"/>
    </xf>
    <xf numFmtId="165" fontId="0" fillId="0" borderId="35" xfId="0" applyNumberFormat="1" applyAlignment="1">
      <alignment horizontal="center"/>
    </xf>
    <xf numFmtId="0" fontId="0" fillId="0" borderId="35" xfId="0"/>
    <xf numFmtId="0" fontId="4" fillId="0" borderId="35" xfId="1" applyAlignment="1">
      <alignment horizontal="center" vertical="center"/>
    </xf>
    <xf numFmtId="3" fontId="0" fillId="0" borderId="35" xfId="0" applyNumberFormat="1"/>
    <xf numFmtId="4" fontId="0" fillId="0" borderId="35" xfId="0" applyNumberFormat="1"/>
    <xf numFmtId="0" fontId="12" fillId="0" borderId="1" xfId="2" applyFont="1" applyBorder="1"/>
    <xf numFmtId="0" fontId="12" fillId="0" borderId="2" xfId="2" applyFont="1" applyBorder="1"/>
    <xf numFmtId="0" fontId="12" fillId="0" borderId="3" xfId="2" applyFont="1" applyBorder="1"/>
    <xf numFmtId="0" fontId="0" fillId="6" borderId="35" xfId="0" applyFill="1" applyAlignment="1">
      <alignment horizontal="center"/>
    </xf>
    <xf numFmtId="0" fontId="4" fillId="9" borderId="35" xfId="1" applyFill="1" applyAlignment="1">
      <alignment horizontal="center"/>
    </xf>
    <xf numFmtId="0" fontId="0" fillId="0" borderId="36" xfId="0" applyBorder="1"/>
    <xf numFmtId="0" fontId="0" fillId="9" borderId="36" xfId="0" applyFill="1" applyBorder="1" applyAlignment="1">
      <alignment horizontal="center"/>
    </xf>
    <xf numFmtId="0" fontId="0" fillId="9" borderId="36" xfId="0" applyFill="1" applyBorder="1"/>
    <xf numFmtId="165" fontId="0" fillId="0" borderId="36" xfId="0" applyNumberFormat="1" applyBorder="1" applyAlignment="1">
      <alignment horizontal="center"/>
    </xf>
    <xf numFmtId="3" fontId="0" fillId="0" borderId="7" xfId="0" applyNumberFormat="1" applyBorder="1" applyAlignment="1">
      <alignment horizontal="center"/>
    </xf>
    <xf numFmtId="0" fontId="10" fillId="0" borderId="36" xfId="1" applyFont="1" applyBorder="1" applyAlignment="1">
      <alignment horizontal="center" vertical="center"/>
    </xf>
    <xf numFmtId="0" fontId="14" fillId="0" borderId="36" xfId="1" applyFont="1" applyBorder="1" applyAlignment="1">
      <alignment horizontal="center" vertical="center"/>
    </xf>
    <xf numFmtId="4" fontId="0" fillId="0" borderId="36" xfId="0" applyNumberFormat="1" applyBorder="1" applyAlignment="1">
      <alignment horizontal="center" vertical="center"/>
    </xf>
    <xf numFmtId="0" fontId="0" fillId="0" borderId="36" xfId="0" applyBorder="1" applyAlignment="1">
      <alignment horizontal="center" vertical="center"/>
    </xf>
    <xf numFmtId="3" fontId="0" fillId="0" borderId="36" xfId="0" applyNumberFormat="1" applyBorder="1" applyAlignment="1">
      <alignment horizontal="center"/>
    </xf>
    <xf numFmtId="164" fontId="4" fillId="0" borderId="7" xfId="1" applyNumberFormat="1" applyBorder="1" applyAlignment="1">
      <alignment horizontal="center"/>
    </xf>
    <xf numFmtId="165" fontId="4" fillId="0" borderId="7" xfId="1" applyNumberFormat="1" applyBorder="1" applyAlignment="1">
      <alignment horizontal="center"/>
    </xf>
    <xf numFmtId="0" fontId="16" fillId="0" borderId="36" xfId="1" applyFont="1" applyBorder="1" applyAlignment="1">
      <alignment horizontal="center"/>
    </xf>
    <xf numFmtId="0" fontId="11" fillId="0" borderId="36" xfId="1" applyFont="1" applyBorder="1" applyAlignment="1">
      <alignment horizontal="center" vertical="center" wrapText="1"/>
    </xf>
    <xf numFmtId="0" fontId="11" fillId="0" borderId="36" xfId="1" applyFont="1" applyBorder="1" applyAlignment="1">
      <alignment horizontal="center" vertical="center"/>
    </xf>
    <xf numFmtId="0" fontId="4" fillId="0" borderId="36" xfId="1" applyBorder="1"/>
    <xf numFmtId="165" fontId="11" fillId="0" borderId="36" xfId="1" applyNumberFormat="1" applyFont="1" applyBorder="1" applyAlignment="1">
      <alignment horizontal="center" vertical="center" wrapText="1"/>
    </xf>
    <xf numFmtId="165" fontId="11" fillId="0" borderId="36" xfId="1" applyNumberFormat="1" applyFont="1" applyBorder="1" applyAlignment="1">
      <alignment horizontal="center" vertical="center"/>
    </xf>
    <xf numFmtId="0" fontId="33" fillId="7" borderId="36" xfId="0" applyFont="1" applyFill="1" applyBorder="1" applyAlignment="1">
      <alignment vertical="top" wrapText="1"/>
    </xf>
    <xf numFmtId="0" fontId="13" fillId="0" borderId="36" xfId="1" applyFont="1" applyBorder="1" applyAlignment="1">
      <alignment horizontal="center" vertical="center" wrapText="1"/>
    </xf>
    <xf numFmtId="0" fontId="0" fillId="10" borderId="35" xfId="0" applyFill="1"/>
    <xf numFmtId="0" fontId="0" fillId="0" borderId="0" xfId="0" applyBorder="1"/>
    <xf numFmtId="0" fontId="14" fillId="0" borderId="6" xfId="1" applyFont="1" applyBorder="1" applyAlignment="1">
      <alignment horizontal="center"/>
    </xf>
    <xf numFmtId="0" fontId="0" fillId="0" borderId="6" xfId="0" applyBorder="1"/>
    <xf numFmtId="0" fontId="13" fillId="0" borderId="6" xfId="1" applyFont="1" applyBorder="1" applyAlignment="1">
      <alignment horizontal="center" vertical="center" wrapText="1"/>
    </xf>
    <xf numFmtId="0" fontId="0" fillId="0" borderId="24" xfId="0" applyBorder="1"/>
    <xf numFmtId="0" fontId="0" fillId="0" borderId="20" xfId="0" applyBorder="1"/>
    <xf numFmtId="0" fontId="32" fillId="0" borderId="0" xfId="0" applyFont="1" applyBorder="1" applyAlignment="1">
      <alignment horizontal="center" vertical="center"/>
    </xf>
    <xf numFmtId="0" fontId="0" fillId="9" borderId="0" xfId="0" applyFill="1" applyBorder="1" applyAlignment="1">
      <alignment horizontal="center"/>
    </xf>
    <xf numFmtId="0" fontId="33" fillId="7" borderId="36" xfId="0" applyFont="1" applyFill="1" applyBorder="1" applyAlignment="1">
      <alignment horizontal="center" vertical="top" wrapText="1"/>
    </xf>
    <xf numFmtId="0" fontId="0" fillId="6" borderId="35" xfId="0" applyFill="1" applyAlignment="1">
      <alignment horizontal="center"/>
    </xf>
    <xf numFmtId="0" fontId="15" fillId="3" borderId="15" xfId="1" applyFont="1" applyFill="1" applyBorder="1" applyAlignment="1">
      <alignment horizontal="center"/>
    </xf>
    <xf numFmtId="0" fontId="0" fillId="0" borderId="2" xfId="0" applyBorder="1"/>
    <xf numFmtId="0" fontId="0" fillId="0" borderId="3" xfId="0" applyBorder="1"/>
    <xf numFmtId="0" fontId="0" fillId="0" borderId="35" xfId="0" applyAlignment="1">
      <alignment horizontal="center" wrapText="1"/>
    </xf>
    <xf numFmtId="0" fontId="26" fillId="9" borderId="35" xfId="0" applyFont="1" applyFill="1" applyAlignment="1">
      <alignment horizontal="center"/>
    </xf>
    <xf numFmtId="165" fontId="27" fillId="0" borderId="7" xfId="0" applyNumberFormat="1" applyFont="1" applyBorder="1" applyAlignment="1">
      <alignment horizontal="center" vertical="center"/>
    </xf>
    <xf numFmtId="0" fontId="0" fillId="0" borderId="18" xfId="0" applyBorder="1"/>
    <xf numFmtId="0" fontId="0" fillId="0" borderId="17" xfId="0" applyBorder="1"/>
    <xf numFmtId="164" fontId="27" fillId="0" borderId="7" xfId="0" applyNumberFormat="1" applyFont="1" applyBorder="1" applyAlignment="1">
      <alignment horizontal="center" vertical="center"/>
    </xf>
    <xf numFmtId="0" fontId="0" fillId="9" borderId="35" xfId="0" applyFill="1" applyAlignment="1">
      <alignment horizontal="center"/>
    </xf>
    <xf numFmtId="0" fontId="6" fillId="0" borderId="15" xfId="1" applyFont="1" applyBorder="1" applyAlignment="1">
      <alignment horizontal="center" vertical="center"/>
    </xf>
    <xf numFmtId="0" fontId="30" fillId="0" borderId="31" xfId="0" applyFont="1" applyBorder="1" applyAlignment="1">
      <alignment horizontal="center"/>
    </xf>
    <xf numFmtId="0" fontId="0" fillId="0" borderId="31" xfId="0" applyBorder="1"/>
    <xf numFmtId="0" fontId="28" fillId="8" borderId="7" xfId="0" applyFont="1" applyFill="1" applyBorder="1" applyAlignment="1">
      <alignment horizontal="center" vertical="center" wrapText="1"/>
    </xf>
    <xf numFmtId="0" fontId="19" fillId="7" borderId="34" xfId="0" applyFont="1" applyFill="1" applyBorder="1" applyAlignment="1">
      <alignment horizontal="left" vertical="top" wrapText="1"/>
    </xf>
    <xf numFmtId="0" fontId="0" fillId="0" borderId="28" xfId="0" applyBorder="1"/>
    <xf numFmtId="0" fontId="0" fillId="0" borderId="29" xfId="0" applyBorder="1"/>
    <xf numFmtId="0" fontId="0" fillId="0" borderId="26" xfId="0" applyBorder="1"/>
    <xf numFmtId="0" fontId="0" fillId="0" borderId="27" xfId="0" applyBorder="1"/>
    <xf numFmtId="0" fontId="0" fillId="0" borderId="30" xfId="0" applyBorder="1"/>
    <xf numFmtId="0" fontId="0" fillId="0" borderId="32" xfId="0" applyBorder="1"/>
    <xf numFmtId="0" fontId="21" fillId="0" borderId="24" xfId="0" applyFont="1" applyBorder="1" applyAlignment="1">
      <alignment horizontal="center" wrapText="1"/>
    </xf>
    <xf numFmtId="0" fontId="0" fillId="0" borderId="7" xfId="0" applyBorder="1" applyAlignment="1">
      <alignment horizontal="left" vertical="center" wrapText="1"/>
    </xf>
    <xf numFmtId="0" fontId="31" fillId="7" borderId="34" xfId="0" applyFont="1" applyFill="1" applyBorder="1" applyAlignment="1">
      <alignment horizontal="left" vertical="top" wrapText="1"/>
    </xf>
    <xf numFmtId="0" fontId="32" fillId="0" borderId="31" xfId="0" applyFont="1" applyBorder="1" applyAlignment="1">
      <alignment horizontal="center"/>
    </xf>
    <xf numFmtId="0" fontId="8" fillId="9" borderId="35" xfId="1" applyFont="1" applyFill="1" applyAlignment="1">
      <alignment horizontal="center"/>
    </xf>
    <xf numFmtId="0" fontId="33" fillId="7" borderId="35" xfId="0" applyFont="1" applyFill="1" applyAlignment="1">
      <alignment horizontal="center" vertical="top" wrapText="1"/>
    </xf>
    <xf numFmtId="0" fontId="35" fillId="0" borderId="35" xfId="1" applyFont="1" applyAlignment="1">
      <alignment horizontal="center"/>
    </xf>
    <xf numFmtId="0" fontId="10" fillId="0" borderId="15" xfId="1" applyFont="1" applyBorder="1" applyAlignment="1">
      <alignment horizontal="center" vertical="center" wrapText="1"/>
    </xf>
    <xf numFmtId="0" fontId="6" fillId="0" borderId="15" xfId="1" applyFont="1" applyBorder="1" applyAlignment="1">
      <alignment horizontal="center" vertical="center" wrapText="1"/>
    </xf>
    <xf numFmtId="0" fontId="0" fillId="0" borderId="7" xfId="0" applyBorder="1" applyAlignment="1">
      <alignment vertical="center" wrapText="1"/>
    </xf>
    <xf numFmtId="0" fontId="0" fillId="6" borderId="35" xfId="0" applyFill="1"/>
    <xf numFmtId="0" fontId="3" fillId="0" borderId="0" xfId="1" applyFont="1" applyBorder="1"/>
    <xf numFmtId="0" fontId="32" fillId="0" borderId="35" xfId="0" applyFont="1" applyAlignment="1">
      <alignment horizontal="center" vertical="center"/>
    </xf>
    <xf numFmtId="0" fontId="21" fillId="0" borderId="35" xfId="0" applyFont="1" applyAlignment="1">
      <alignment horizontal="center" vertical="center" wrapText="1"/>
    </xf>
    <xf numFmtId="0" fontId="3" fillId="9" borderId="35" xfId="1" applyFont="1" applyFill="1" applyAlignment="1">
      <alignment horizontal="center"/>
    </xf>
    <xf numFmtId="0" fontId="36" fillId="7" borderId="35" xfId="0" applyFont="1" applyFill="1" applyAlignment="1">
      <alignment horizontal="center" vertical="top" wrapText="1"/>
    </xf>
    <xf numFmtId="0" fontId="21" fillId="0" borderId="35" xfId="0" applyFont="1" applyAlignment="1">
      <alignment horizontal="center"/>
    </xf>
    <xf numFmtId="0" fontId="37" fillId="0" borderId="35" xfId="0" applyFont="1" applyAlignment="1">
      <alignment horizontal="center" vertical="center"/>
    </xf>
    <xf numFmtId="0" fontId="10" fillId="0" borderId="15" xfId="1" applyFont="1" applyBorder="1" applyAlignment="1">
      <alignment horizontal="center"/>
    </xf>
    <xf numFmtId="0" fontId="4" fillId="9" borderId="35" xfId="1" applyFill="1" applyAlignment="1">
      <alignment horizontal="center"/>
    </xf>
    <xf numFmtId="0" fontId="4" fillId="0" borderId="0" xfId="1" applyBorder="1"/>
    <xf numFmtId="165" fontId="0" fillId="0" borderId="7" xfId="0" applyNumberFormat="1" applyBorder="1" applyAlignment="1">
      <alignment horizontal="center"/>
    </xf>
    <xf numFmtId="164" fontId="0" fillId="0" borderId="7" xfId="0" applyNumberFormat="1" applyBorder="1" applyAlignment="1">
      <alignment horizontal="center"/>
    </xf>
    <xf numFmtId="0" fontId="32" fillId="0" borderId="31" xfId="0" applyFont="1" applyBorder="1" applyAlignment="1">
      <alignment horizontal="center" vertical="center"/>
    </xf>
    <xf numFmtId="0" fontId="33" fillId="7" borderId="34" xfId="0" applyFont="1" applyFill="1" applyBorder="1" applyAlignment="1">
      <alignment horizontal="left" vertical="top" wrapText="1" indent="1"/>
    </xf>
    <xf numFmtId="0" fontId="21" fillId="0" borderId="35" xfId="0" applyFont="1" applyAlignment="1">
      <alignment horizontal="center" wrapText="1"/>
    </xf>
    <xf numFmtId="0" fontId="0" fillId="10" borderId="35" xfId="0" applyFill="1" applyAlignment="1">
      <alignment horizontal="center"/>
    </xf>
    <xf numFmtId="0" fontId="0" fillId="0" borderId="35" xfId="0"/>
    <xf numFmtId="0" fontId="4" fillId="4" borderId="7" xfId="1" applyFill="1" applyBorder="1" applyAlignment="1">
      <alignment horizontal="center"/>
    </xf>
    <xf numFmtId="0" fontId="21" fillId="0" borderId="31" xfId="0" applyFont="1" applyBorder="1" applyAlignment="1">
      <alignment horizontal="center" wrapText="1"/>
    </xf>
    <xf numFmtId="0" fontId="0" fillId="9" borderId="36" xfId="0" applyFill="1" applyBorder="1" applyAlignment="1">
      <alignment horizontal="center"/>
    </xf>
    <xf numFmtId="0" fontId="0" fillId="11" borderId="35" xfId="0" applyFill="1"/>
    <xf numFmtId="0" fontId="10" fillId="0" borderId="37" xfId="1" applyFont="1" applyBorder="1" applyAlignment="1">
      <alignment horizontal="center" vertical="center"/>
    </xf>
    <xf numFmtId="0" fontId="10" fillId="0" borderId="36" xfId="1" applyFont="1" applyBorder="1" applyAlignment="1">
      <alignment horizontal="center" vertical="center"/>
    </xf>
    <xf numFmtId="0" fontId="21" fillId="0" borderId="36" xfId="0" applyFont="1" applyBorder="1" applyAlignment="1">
      <alignment horizontal="center"/>
    </xf>
    <xf numFmtId="0" fontId="32" fillId="0" borderId="0" xfId="0" applyFont="1" applyBorder="1" applyAlignment="1">
      <alignment horizontal="center"/>
    </xf>
    <xf numFmtId="0" fontId="0" fillId="0" borderId="36" xfId="0" applyBorder="1"/>
    <xf numFmtId="0" fontId="16" fillId="0" borderId="1" xfId="1" applyFont="1" applyBorder="1" applyAlignment="1">
      <alignment horizontal="center"/>
    </xf>
    <xf numFmtId="0" fontId="16" fillId="0" borderId="2" xfId="1" applyFont="1" applyBorder="1" applyAlignment="1">
      <alignment horizontal="center"/>
    </xf>
    <xf numFmtId="0" fontId="16" fillId="0" borderId="3" xfId="1" applyFont="1" applyBorder="1" applyAlignment="1">
      <alignment horizontal="center"/>
    </xf>
    <xf numFmtId="0" fontId="33" fillId="7" borderId="36" xfId="1" applyFont="1" applyFill="1" applyBorder="1" applyAlignment="1">
      <alignment horizontal="center" vertical="top" wrapText="1"/>
    </xf>
    <xf numFmtId="0" fontId="32" fillId="0" borderId="36" xfId="1" applyFont="1" applyBorder="1" applyAlignment="1">
      <alignment horizontal="center"/>
    </xf>
    <xf numFmtId="0" fontId="4" fillId="0" borderId="7" xfId="1" applyBorder="1" applyAlignment="1">
      <alignment horizontal="left" vertical="center" wrapText="1"/>
    </xf>
    <xf numFmtId="0" fontId="21" fillId="0" borderId="0" xfId="1" applyFont="1" applyBorder="1" applyAlignment="1">
      <alignment horizontal="center" vertical="top" wrapText="1"/>
    </xf>
    <xf numFmtId="0" fontId="16" fillId="0" borderId="15" xfId="1" applyFont="1" applyBorder="1" applyAlignment="1">
      <alignment horizontal="center" vertical="center" wrapText="1"/>
    </xf>
    <xf numFmtId="0" fontId="4" fillId="0" borderId="12" xfId="1" applyBorder="1" applyAlignment="1">
      <alignment horizontal="center"/>
    </xf>
    <xf numFmtId="0" fontId="0" fillId="0" borderId="12" xfId="0" applyBorder="1"/>
    <xf numFmtId="0" fontId="11" fillId="0" borderId="6" xfId="1" applyFont="1" applyBorder="1" applyAlignment="1">
      <alignment horizontal="center" vertical="center" wrapText="1"/>
    </xf>
    <xf numFmtId="0" fontId="0" fillId="10" borderId="36" xfId="0" applyFill="1" applyBorder="1"/>
    <xf numFmtId="0" fontId="32" fillId="0" borderId="0" xfId="1" applyFont="1" applyBorder="1" applyAlignment="1">
      <alignment horizontal="center" vertical="center"/>
    </xf>
    <xf numFmtId="0" fontId="4" fillId="9" borderId="0" xfId="1" applyFill="1" applyBorder="1" applyAlignment="1">
      <alignment horizontal="center"/>
    </xf>
    <xf numFmtId="0" fontId="4" fillId="6" borderId="35" xfId="1" applyFill="1" applyAlignment="1">
      <alignment horizontal="center"/>
    </xf>
    <xf numFmtId="0" fontId="11" fillId="0" borderId="19" xfId="1" applyFont="1" applyBorder="1" applyAlignment="1">
      <alignment horizontal="center" wrapText="1"/>
    </xf>
    <xf numFmtId="0" fontId="0" fillId="0" borderId="21" xfId="0" applyBorder="1"/>
    <xf numFmtId="0" fontId="11" fillId="0" borderId="19" xfId="1" applyFont="1" applyBorder="1" applyAlignment="1">
      <alignment horizontal="center" vertical="center" wrapText="1"/>
    </xf>
    <xf numFmtId="0" fontId="33" fillId="7" borderId="36" xfId="0" applyFont="1" applyFill="1" applyBorder="1" applyAlignment="1">
      <alignment horizontal="center" vertical="center" wrapText="1"/>
    </xf>
    <xf numFmtId="0" fontId="6" fillId="0" borderId="1" xfId="1" applyFont="1" applyBorder="1" applyAlignment="1">
      <alignment horizontal="center"/>
    </xf>
    <xf numFmtId="0" fontId="6" fillId="0" borderId="2" xfId="1" applyFont="1" applyBorder="1" applyAlignment="1">
      <alignment horizontal="center"/>
    </xf>
    <xf numFmtId="0" fontId="6" fillId="0" borderId="3" xfId="1" applyFont="1" applyBorder="1" applyAlignment="1">
      <alignment horizontal="center"/>
    </xf>
  </cellXfs>
  <cellStyles count="3">
    <cellStyle name="Обычный" xfId="0" builtinId="0"/>
    <cellStyle name="Обычный 2" xfId="1" xr:uid="{00000000-0005-0000-0000-000001000000}"/>
    <cellStyle name="Обычный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a:defRPr/>
            </a:pPr>
            <a:r>
              <a:rPr lang="ru-RU"/>
              <a:t>Динамика показателя «Число организаций сектора ИКТ, единиц»</a:t>
            </a:r>
          </a:p>
        </c:rich>
      </c:tx>
      <c:layout>
        <c:manualLayout>
          <c:xMode val="edge"/>
          <c:yMode val="edge"/>
          <c:x val="1.948851010101009E-2"/>
          <c:y val="4.4898989898989897E-2"/>
        </c:manualLayout>
      </c:layout>
      <c:overlay val="1"/>
    </c:title>
    <c:autoTitleDeleted val="0"/>
    <c:plotArea>
      <c:layout/>
      <c:barChart>
        <c:barDir val="col"/>
        <c:grouping val="clustered"/>
        <c:varyColors val="1"/>
        <c:ser>
          <c:idx val="0"/>
          <c:order val="0"/>
          <c:tx>
            <c:v>Число организаций, единиц</c:v>
          </c:tx>
          <c:spPr>
            <a:solidFill>
              <a:srgbClr val="2E5A88"/>
            </a:solidFill>
            <a:ln>
              <a:prstDash val="solid"/>
            </a:ln>
          </c:spPr>
          <c:invertIfNegative val="1"/>
          <c:dLbls>
            <c:spPr>
              <a:noFill/>
              <a:ln>
                <a:noFill/>
                <a:prstDash val="solid"/>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'2.1 Соц-эк показатели ИКТ'!$B$7:$M$7</c:f>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f>'2.1 Соц-эк показатели ИКТ'!$B$8:$M$8</c:f>
              <c:numCache>
                <c:formatCode>#,##0</c:formatCode>
                <c:ptCount val="12"/>
                <c:pt idx="0">
                  <c:v>3569</c:v>
                </c:pt>
                <c:pt idx="1">
                  <c:v>3958</c:v>
                </c:pt>
                <c:pt idx="2">
                  <c:v>4227</c:v>
                </c:pt>
                <c:pt idx="3">
                  <c:v>4477</c:v>
                </c:pt>
                <c:pt idx="4">
                  <c:v>4536</c:v>
                </c:pt>
                <c:pt idx="5">
                  <c:v>3962</c:v>
                </c:pt>
                <c:pt idx="6">
                  <c:v>4492</c:v>
                </c:pt>
                <c:pt idx="7">
                  <c:v>4996</c:v>
                </c:pt>
                <c:pt idx="8">
                  <c:v>5202</c:v>
                </c:pt>
                <c:pt idx="9">
                  <c:v>5341</c:v>
                </c:pt>
                <c:pt idx="10">
                  <c:v>5412</c:v>
                </c:pt>
                <c:pt idx="11">
                  <c:v>5437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4728-49DB-811F-1467E422DCDF}"/>
            </c:ext>
          </c:extLst>
        </c:ser>
        <c:dLbls>
          <c:showLegendKey val="0"/>
          <c:showVal val="1"/>
          <c:showCatName val="0"/>
          <c:showSerName val="0"/>
          <c:showPercent val="0"/>
          <c:showBubbleSize val="0"/>
        </c:dLbls>
        <c:gapWidth val="60"/>
        <c:axId val="10"/>
        <c:axId val="100"/>
      </c:barChart>
      <c:catAx>
        <c:axId val="10"/>
        <c:scaling>
          <c:orientation val="minMax"/>
        </c:scaling>
        <c:delete val="0"/>
        <c:axPos val="b"/>
        <c:numFmt formatCode="General" sourceLinked="1"/>
        <c:majorTickMark val="out"/>
        <c:minorTickMark val="none"/>
        <c:tickLblPos val="nextTo"/>
        <c:crossAx val="100"/>
        <c:crosses val="autoZero"/>
        <c:auto val="1"/>
        <c:lblAlgn val="ctr"/>
        <c:lblOffset val="100"/>
        <c:noMultiLvlLbl val="1"/>
      </c:catAx>
      <c:valAx>
        <c:axId val="100"/>
        <c:scaling>
          <c:orientation val="minMax"/>
        </c:scaling>
        <c:delete val="1"/>
        <c:axPos val="l"/>
        <c:majorGridlines/>
        <c:numFmt formatCode="#,##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a:defRPr/>
            </a:pPr>
            <a:r>
              <a:rPr lang="ru-RU"/>
              <a:t>Динамика показателя «Доля ВДС сектора ИКТ в ВВП, процентов»</a:t>
            </a:r>
          </a:p>
        </c:rich>
      </c:tx>
      <c:layout>
        <c:manualLayout>
          <c:xMode val="edge"/>
          <c:yMode val="edge"/>
          <c:x val="2.1076010101010109E-2"/>
          <c:y val="4.8106060606060597E-2"/>
        </c:manualLayout>
      </c:layout>
      <c:overlay val="1"/>
    </c:title>
    <c:autoTitleDeleted val="0"/>
    <c:plotArea>
      <c:layout/>
      <c:barChart>
        <c:barDir val="col"/>
        <c:grouping val="clustered"/>
        <c:varyColors val="1"/>
        <c:ser>
          <c:idx val="0"/>
          <c:order val="0"/>
          <c:tx>
            <c:v>Доля ВДС в ВВП, %</c:v>
          </c:tx>
          <c:spPr>
            <a:solidFill>
              <a:srgbClr val="2E5A88"/>
            </a:solidFill>
            <a:ln>
              <a:prstDash val="solid"/>
            </a:ln>
          </c:spPr>
          <c:invertIfNegative val="1"/>
          <c:dLbls>
            <c:spPr>
              <a:noFill/>
              <a:ln>
                <a:noFill/>
                <a:prstDash val="solid"/>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'2.1 Соц-эк показатели ИКТ'!$B$7:$M$7</c:f>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f>'2.1 Соц-эк показатели ИКТ'!$B$10:$M$10</c:f>
              <c:numCache>
                <c:formatCode>0.0</c:formatCode>
                <c:ptCount val="12"/>
                <c:pt idx="0">
                  <c:v>2.8</c:v>
                </c:pt>
                <c:pt idx="1">
                  <c:v>3.3</c:v>
                </c:pt>
                <c:pt idx="2">
                  <c:v>3.1</c:v>
                </c:pt>
                <c:pt idx="3">
                  <c:v>3</c:v>
                </c:pt>
                <c:pt idx="4">
                  <c:v>3.5</c:v>
                </c:pt>
                <c:pt idx="5" formatCode="General">
                  <c:v>4.5</c:v>
                </c:pt>
                <c:pt idx="6" formatCode="General">
                  <c:v>5.2</c:v>
                </c:pt>
                <c:pt idx="7" formatCode="General">
                  <c:v>5.6</c:v>
                </c:pt>
                <c:pt idx="8" formatCode="General">
                  <c:v>6.5</c:v>
                </c:pt>
                <c:pt idx="9" formatCode="General">
                  <c:v>7.3</c:v>
                </c:pt>
                <c:pt idx="10" formatCode="General">
                  <c:v>7.5</c:v>
                </c:pt>
                <c:pt idx="11" formatCode="General">
                  <c:v>6.5</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1EE4-4BB6-A919-ED23C49AEF97}"/>
            </c:ext>
          </c:extLst>
        </c:ser>
        <c:dLbls>
          <c:showLegendKey val="0"/>
          <c:showVal val="1"/>
          <c:showCatName val="0"/>
          <c:showSerName val="0"/>
          <c:showPercent val="0"/>
          <c:showBubbleSize val="0"/>
        </c:dLbls>
        <c:gapWidth val="60"/>
        <c:axId val="10"/>
        <c:axId val="100"/>
      </c:barChart>
      <c:catAx>
        <c:axId val="10"/>
        <c:scaling>
          <c:orientation val="minMax"/>
        </c:scaling>
        <c:delete val="0"/>
        <c:axPos val="b"/>
        <c:numFmt formatCode="General" sourceLinked="1"/>
        <c:majorTickMark val="out"/>
        <c:minorTickMark val="none"/>
        <c:tickLblPos val="nextTo"/>
        <c:crossAx val="100"/>
        <c:crosses val="autoZero"/>
        <c:auto val="1"/>
        <c:lblAlgn val="ctr"/>
        <c:lblOffset val="100"/>
        <c:noMultiLvlLbl val="1"/>
      </c:catAx>
      <c:valAx>
        <c:axId val="100"/>
        <c:scaling>
          <c:orientation val="minMax"/>
        </c:scaling>
        <c:delete val="1"/>
        <c:axPos val="l"/>
        <c:majorGridlines/>
        <c:numFmt formatCode="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a:defRPr/>
            </a:pPr>
            <a:r>
              <a:rPr lang="ru-RU"/>
              <a:t>Число организаций сектора ИКТ по областям и г. Минску, 2019 и 2024 гг.</a:t>
            </a:r>
          </a:p>
        </c:rich>
      </c:tx>
      <c:layout>
        <c:manualLayout>
          <c:xMode val="edge"/>
          <c:yMode val="edge"/>
          <c:x val="0.26488831018518522"/>
          <c:y val="1.526929133858268E-2"/>
        </c:manualLayout>
      </c:layout>
      <c:overlay val="1"/>
    </c:title>
    <c:autoTitleDeleted val="0"/>
    <c:plotArea>
      <c:layout>
        <c:manualLayout>
          <c:layoutTarget val="inner"/>
          <c:xMode val="edge"/>
          <c:yMode val="edge"/>
          <c:x val="5.6320717592592592E-2"/>
          <c:y val="6.8451910177894426E-2"/>
          <c:w val="0.9275103009259259"/>
          <c:h val="0.79262345371385545"/>
        </c:manualLayout>
      </c:layout>
      <c:barChart>
        <c:barDir val="col"/>
        <c:grouping val="clustered"/>
        <c:varyColors val="1"/>
        <c:ser>
          <c:idx val="0"/>
          <c:order val="0"/>
          <c:tx>
            <c:v>2019</c:v>
          </c:tx>
          <c:spPr>
            <a:solidFill>
              <a:srgbClr val="2E5A88"/>
            </a:solidFill>
            <a:ln>
              <a:prstDash val="solid"/>
            </a:ln>
          </c:spPr>
          <c:invertIfNegative val="1"/>
          <c:dLbls>
            <c:spPr>
              <a:noFill/>
              <a:ln>
                <a:noFill/>
                <a:prstDash val="solid"/>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'2.1 Показатели по областям'!$I$9:$I$15</c:f>
              <c:strCache>
                <c:ptCount val="7"/>
                <c:pt idx="0">
                  <c:v>Брестская</c:v>
                </c:pt>
                <c:pt idx="1">
                  <c:v>Витебская</c:v>
                </c:pt>
                <c:pt idx="2">
                  <c:v>Гомельская</c:v>
                </c:pt>
                <c:pt idx="3">
                  <c:v>Гродненская</c:v>
                </c:pt>
                <c:pt idx="4">
                  <c:v>г. Минск</c:v>
                </c:pt>
                <c:pt idx="5">
                  <c:v>Минская</c:v>
                </c:pt>
                <c:pt idx="6">
                  <c:v>Могилевская</c:v>
                </c:pt>
              </c:strCache>
            </c:strRef>
          </c:cat>
          <c:val>
            <c:numRef>
              <c:f>'2.1 Показатели по областям'!$J$9:$J$15</c:f>
              <c:numCache>
                <c:formatCode>#,##0</c:formatCode>
                <c:ptCount val="7"/>
                <c:pt idx="0">
                  <c:v>260</c:v>
                </c:pt>
                <c:pt idx="1">
                  <c:v>211</c:v>
                </c:pt>
                <c:pt idx="2">
                  <c:v>286</c:v>
                </c:pt>
                <c:pt idx="3">
                  <c:v>227</c:v>
                </c:pt>
                <c:pt idx="4">
                  <c:v>3587</c:v>
                </c:pt>
                <c:pt idx="5">
                  <c:v>438</c:v>
                </c:pt>
                <c:pt idx="6">
                  <c:v>193</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0556-4371-B1E2-03DBF99FFA46}"/>
            </c:ext>
          </c:extLst>
        </c:ser>
        <c:ser>
          <c:idx val="1"/>
          <c:order val="1"/>
          <c:tx>
            <c:v>2024</c:v>
          </c:tx>
          <c:spPr>
            <a:solidFill>
              <a:srgbClr val="C0504D"/>
            </a:solidFill>
            <a:ln>
              <a:prstDash val="solid"/>
            </a:ln>
          </c:spPr>
          <c:invertIfNegative val="1"/>
          <c:dLbls>
            <c:spPr>
              <a:noFill/>
              <a:ln>
                <a:noFill/>
                <a:prstDash val="solid"/>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'2.1 Показатели по областям'!$I$9:$I$15</c:f>
              <c:strCache>
                <c:ptCount val="7"/>
                <c:pt idx="0">
                  <c:v>Брестская</c:v>
                </c:pt>
                <c:pt idx="1">
                  <c:v>Витебская</c:v>
                </c:pt>
                <c:pt idx="2">
                  <c:v>Гомельская</c:v>
                </c:pt>
                <c:pt idx="3">
                  <c:v>Гродненская</c:v>
                </c:pt>
                <c:pt idx="4">
                  <c:v>г. Минск</c:v>
                </c:pt>
                <c:pt idx="5">
                  <c:v>Минская</c:v>
                </c:pt>
                <c:pt idx="6">
                  <c:v>Могилевская</c:v>
                </c:pt>
              </c:strCache>
            </c:strRef>
          </c:cat>
          <c:val>
            <c:numRef>
              <c:f>'2.1 Показатели по областям'!$O$9:$O$15</c:f>
              <c:numCache>
                <c:formatCode>#,##0</c:formatCode>
                <c:ptCount val="7"/>
                <c:pt idx="0">
                  <c:v>249</c:v>
                </c:pt>
                <c:pt idx="1">
                  <c:v>233</c:v>
                </c:pt>
                <c:pt idx="2">
                  <c:v>293</c:v>
                </c:pt>
                <c:pt idx="3">
                  <c:v>230</c:v>
                </c:pt>
                <c:pt idx="4">
                  <c:v>3788</c:v>
                </c:pt>
                <c:pt idx="5">
                  <c:v>489</c:v>
                </c:pt>
                <c:pt idx="6">
                  <c:v>180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0556-4371-B1E2-03DBF99FFA46}"/>
            </c:ext>
          </c:extLst>
        </c:ser>
        <c:dLbls>
          <c:showLegendKey val="0"/>
          <c:showVal val="1"/>
          <c:showCatName val="0"/>
          <c:showSerName val="0"/>
          <c:showPercent val="0"/>
          <c:showBubbleSize val="0"/>
        </c:dLbls>
        <c:gapWidth val="60"/>
        <c:axId val="10"/>
        <c:axId val="100"/>
      </c:barChart>
      <c:catAx>
        <c:axId val="10"/>
        <c:scaling>
          <c:orientation val="minMax"/>
        </c:scaling>
        <c:delete val="0"/>
        <c:axPos val="b"/>
        <c:numFmt formatCode="General" sourceLinked="1"/>
        <c:majorTickMark val="out"/>
        <c:minorTickMark val="none"/>
        <c:tickLblPos val="nextTo"/>
        <c:crossAx val="100"/>
        <c:crosses val="autoZero"/>
        <c:auto val="1"/>
        <c:lblAlgn val="ctr"/>
        <c:lblOffset val="100"/>
        <c:noMultiLvlLbl val="1"/>
      </c:catAx>
      <c:valAx>
        <c:axId val="100"/>
        <c:scaling>
          <c:orientation val="minMax"/>
        </c:scaling>
        <c:delete val="0"/>
        <c:axPos val="l"/>
        <c:majorGridlines/>
        <c:numFmt formatCode="#,##0" sourceLinked="1"/>
        <c:majorTickMark val="out"/>
        <c:minorTickMark val="none"/>
        <c:tickLblPos val="nextTo"/>
        <c:crossAx val="10"/>
        <c:crosses val="autoZero"/>
        <c:crossBetween val="between"/>
      </c:valAx>
    </c:plotArea>
    <c:legend>
      <c:legendPos val="r"/>
      <c:layout>
        <c:manualLayout>
          <c:xMode val="edge"/>
          <c:yMode val="edge"/>
          <c:x val="0.4439862268518518"/>
          <c:y val="0.91608181888656326"/>
          <c:w val="0.13268043981481481"/>
          <c:h val="7.0789948724763824E-2"/>
        </c:manualLayout>
      </c:layout>
      <c:overlay val="1"/>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a:defRPr/>
            </a:pPr>
            <a:r>
              <a:rPr lang="ru-RU"/>
              <a:t>Структура затрат организаций сектора ИКТ на цифровые технологии, млн руб.</a:t>
            </a:r>
          </a:p>
        </c:rich>
      </c:tx>
      <c:overlay val="1"/>
    </c:title>
    <c:autoTitleDeleted val="0"/>
    <c:plotArea>
      <c:layout/>
      <c:barChart>
        <c:barDir val="col"/>
        <c:grouping val="stacked"/>
        <c:varyColors val="1"/>
        <c:ser>
          <c:idx val="0"/>
          <c:order val="0"/>
          <c:tx>
            <c:v>приобретение вычислительной техники</c:v>
          </c:tx>
          <c:spPr>
            <a:solidFill>
              <a:srgbClr val="2E5A88"/>
            </a:solidFill>
            <a:ln>
              <a:prstDash val="solid"/>
            </a:ln>
          </c:spPr>
          <c:invertIfNegative val="1"/>
          <c:cat>
            <c:numRef>
              <c:f>'Затраты ИКТ организаций 2020'!$B$7:$H$7</c:f>
              <c:numCache>
                <c:formatCode>General</c:formatCode>
                <c:ptCount val="7"/>
                <c:pt idx="0">
                  <c:v>2011</c:v>
                </c:pt>
                <c:pt idx="1">
                  <c:v>2012</c:v>
                </c:pt>
                <c:pt idx="2">
                  <c:v>2013</c:v>
                </c:pt>
                <c:pt idx="3">
                  <c:v>2014</c:v>
                </c:pt>
                <c:pt idx="4">
                  <c:v>2015</c:v>
                </c:pt>
                <c:pt idx="5">
                  <c:v>2016</c:v>
                </c:pt>
                <c:pt idx="6">
                  <c:v>2020</c:v>
                </c:pt>
              </c:numCache>
            </c:numRef>
          </c:cat>
          <c:val>
            <c:numRef>
              <c:f>'Затраты ИКТ организаций 2020'!$B$10:$H$10</c:f>
              <c:numCache>
                <c:formatCode>General</c:formatCode>
                <c:ptCount val="7"/>
                <c:pt idx="0">
                  <c:v>519.70000000000005</c:v>
                </c:pt>
                <c:pt idx="1">
                  <c:v>243.1</c:v>
                </c:pt>
                <c:pt idx="2">
                  <c:v>350.3</c:v>
                </c:pt>
                <c:pt idx="3">
                  <c:v>564.20000000000005</c:v>
                </c:pt>
                <c:pt idx="4">
                  <c:v>647.9</c:v>
                </c:pt>
                <c:pt idx="5">
                  <c:v>69.900000000000006</c:v>
                </c:pt>
                <c:pt idx="6">
                  <c:v>119.3</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A429-471B-9619-638D5DBC28D0}"/>
            </c:ext>
          </c:extLst>
        </c:ser>
        <c:ser>
          <c:idx val="1"/>
          <c:order val="1"/>
          <c:tx>
            <c:v>приобретение программных средств</c:v>
          </c:tx>
          <c:spPr>
            <a:solidFill>
              <a:srgbClr val="C0504D"/>
            </a:solidFill>
            <a:ln>
              <a:prstDash val="solid"/>
            </a:ln>
          </c:spPr>
          <c:invertIfNegative val="1"/>
          <c:cat>
            <c:numRef>
              <c:f>'Затраты ИКТ организаций 2020'!$B$7:$H$7</c:f>
              <c:numCache>
                <c:formatCode>General</c:formatCode>
                <c:ptCount val="7"/>
                <c:pt idx="0">
                  <c:v>2011</c:v>
                </c:pt>
                <c:pt idx="1">
                  <c:v>2012</c:v>
                </c:pt>
                <c:pt idx="2">
                  <c:v>2013</c:v>
                </c:pt>
                <c:pt idx="3">
                  <c:v>2014</c:v>
                </c:pt>
                <c:pt idx="4">
                  <c:v>2015</c:v>
                </c:pt>
                <c:pt idx="5">
                  <c:v>2016</c:v>
                </c:pt>
                <c:pt idx="6">
                  <c:v>2020</c:v>
                </c:pt>
              </c:numCache>
            </c:numRef>
          </c:cat>
          <c:val>
            <c:numRef>
              <c:f>'Затраты ИКТ организаций 2020'!$B$11:$H$11</c:f>
              <c:numCache>
                <c:formatCode>General</c:formatCode>
                <c:ptCount val="7"/>
                <c:pt idx="0">
                  <c:v>53.2</c:v>
                </c:pt>
                <c:pt idx="1">
                  <c:v>82</c:v>
                </c:pt>
                <c:pt idx="2">
                  <c:v>163.4</c:v>
                </c:pt>
                <c:pt idx="3">
                  <c:v>314.10000000000002</c:v>
                </c:pt>
                <c:pt idx="4">
                  <c:v>307.60000000000002</c:v>
                </c:pt>
                <c:pt idx="5">
                  <c:v>33</c:v>
                </c:pt>
                <c:pt idx="6">
                  <c:v>128.19999999999999</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A429-471B-9619-638D5DBC28D0}"/>
            </c:ext>
          </c:extLst>
        </c:ser>
        <c:ser>
          <c:idx val="2"/>
          <c:order val="2"/>
          <c:tx>
            <c:v>услуги в области телекоммуникаций</c:v>
          </c:tx>
          <c:spPr>
            <a:solidFill>
              <a:srgbClr val="6B8E4E"/>
            </a:solidFill>
            <a:ln>
              <a:prstDash val="solid"/>
            </a:ln>
          </c:spPr>
          <c:invertIfNegative val="1"/>
          <c:cat>
            <c:numRef>
              <c:f>'Затраты ИКТ организаций 2020'!$B$7:$H$7</c:f>
              <c:numCache>
                <c:formatCode>General</c:formatCode>
                <c:ptCount val="7"/>
                <c:pt idx="0">
                  <c:v>2011</c:v>
                </c:pt>
                <c:pt idx="1">
                  <c:v>2012</c:v>
                </c:pt>
                <c:pt idx="2">
                  <c:v>2013</c:v>
                </c:pt>
                <c:pt idx="3">
                  <c:v>2014</c:v>
                </c:pt>
                <c:pt idx="4">
                  <c:v>2015</c:v>
                </c:pt>
                <c:pt idx="5">
                  <c:v>2016</c:v>
                </c:pt>
                <c:pt idx="6">
                  <c:v>2020</c:v>
                </c:pt>
              </c:numCache>
            </c:numRef>
          </c:cat>
          <c:val>
            <c:numRef>
              <c:f>'Затраты ИКТ организаций 2020'!$B$12:$H$12</c:f>
              <c:numCache>
                <c:formatCode>General</c:formatCode>
                <c:ptCount val="7"/>
                <c:pt idx="0">
                  <c:v>219.2</c:v>
                </c:pt>
                <c:pt idx="1">
                  <c:v>268.7</c:v>
                </c:pt>
                <c:pt idx="2">
                  <c:v>354.1</c:v>
                </c:pt>
                <c:pt idx="3">
                  <c:v>403.2</c:v>
                </c:pt>
                <c:pt idx="4">
                  <c:v>413.3</c:v>
                </c:pt>
                <c:pt idx="5">
                  <c:v>56.3</c:v>
                </c:pt>
                <c:pt idx="6">
                  <c:v>52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2-A429-471B-9619-638D5DBC28D0}"/>
            </c:ext>
          </c:extLst>
        </c:ser>
        <c:ser>
          <c:idx val="3"/>
          <c:order val="3"/>
          <c:tx>
            <c:v>обучение работников</c:v>
          </c:tx>
          <c:spPr>
            <a:solidFill>
              <a:srgbClr val="B7791F"/>
            </a:solidFill>
            <a:ln>
              <a:prstDash val="solid"/>
            </a:ln>
          </c:spPr>
          <c:invertIfNegative val="1"/>
          <c:cat>
            <c:numRef>
              <c:f>'Затраты ИКТ организаций 2020'!$B$7:$H$7</c:f>
              <c:numCache>
                <c:formatCode>General</c:formatCode>
                <c:ptCount val="7"/>
                <c:pt idx="0">
                  <c:v>2011</c:v>
                </c:pt>
                <c:pt idx="1">
                  <c:v>2012</c:v>
                </c:pt>
                <c:pt idx="2">
                  <c:v>2013</c:v>
                </c:pt>
                <c:pt idx="3">
                  <c:v>2014</c:v>
                </c:pt>
                <c:pt idx="4">
                  <c:v>2015</c:v>
                </c:pt>
                <c:pt idx="5">
                  <c:v>2016</c:v>
                </c:pt>
                <c:pt idx="6">
                  <c:v>2020</c:v>
                </c:pt>
              </c:numCache>
            </c:numRef>
          </c:cat>
          <c:val>
            <c:numRef>
              <c:f>'Затраты ИКТ организаций 2020'!$B$13:$H$13</c:f>
              <c:numCache>
                <c:formatCode>General</c:formatCode>
                <c:ptCount val="7"/>
                <c:pt idx="0">
                  <c:v>4.3</c:v>
                </c:pt>
                <c:pt idx="1">
                  <c:v>7.3</c:v>
                </c:pt>
                <c:pt idx="2">
                  <c:v>7.2</c:v>
                </c:pt>
                <c:pt idx="3">
                  <c:v>8.9</c:v>
                </c:pt>
                <c:pt idx="4">
                  <c:v>14</c:v>
                </c:pt>
                <c:pt idx="5">
                  <c:v>2.7</c:v>
                </c:pt>
                <c:pt idx="6">
                  <c:v>2.6</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3-A429-471B-9619-638D5DBC28D0}"/>
            </c:ext>
          </c:extLst>
        </c:ser>
        <c:ser>
          <c:idx val="4"/>
          <c:order val="4"/>
          <c:tx>
            <c:v>услуги сторонних организаций</c:v>
          </c:tx>
          <c:spPr>
            <a:solidFill>
              <a:srgbClr val="7B6BA8"/>
            </a:solidFill>
            <a:ln>
              <a:prstDash val="solid"/>
            </a:ln>
          </c:spPr>
          <c:invertIfNegative val="1"/>
          <c:cat>
            <c:numRef>
              <c:f>'Затраты ИКТ организаций 2020'!$B$7:$H$7</c:f>
              <c:numCache>
                <c:formatCode>General</c:formatCode>
                <c:ptCount val="7"/>
                <c:pt idx="0">
                  <c:v>2011</c:v>
                </c:pt>
                <c:pt idx="1">
                  <c:v>2012</c:v>
                </c:pt>
                <c:pt idx="2">
                  <c:v>2013</c:v>
                </c:pt>
                <c:pt idx="3">
                  <c:v>2014</c:v>
                </c:pt>
                <c:pt idx="4">
                  <c:v>2015</c:v>
                </c:pt>
                <c:pt idx="5">
                  <c:v>2016</c:v>
                </c:pt>
                <c:pt idx="6">
                  <c:v>2020</c:v>
                </c:pt>
              </c:numCache>
            </c:numRef>
          </c:cat>
          <c:val>
            <c:numRef>
              <c:f>'Затраты ИКТ организаций 2020'!$B$14:$H$14</c:f>
              <c:numCache>
                <c:formatCode>General</c:formatCode>
                <c:ptCount val="7"/>
                <c:pt idx="0">
                  <c:v>53.2</c:v>
                </c:pt>
                <c:pt idx="1">
                  <c:v>87.2</c:v>
                </c:pt>
                <c:pt idx="2">
                  <c:v>135.80000000000001</c:v>
                </c:pt>
                <c:pt idx="3">
                  <c:v>393.4</c:v>
                </c:pt>
                <c:pt idx="4">
                  <c:v>338</c:v>
                </c:pt>
                <c:pt idx="5">
                  <c:v>56.2</c:v>
                </c:pt>
                <c:pt idx="6">
                  <c:v>240.4</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4-A429-471B-9619-638D5DBC28D0}"/>
            </c:ext>
          </c:extLst>
        </c:ser>
        <c:ser>
          <c:idx val="5"/>
          <c:order val="5"/>
          <c:tx>
            <c:v>прочие затраты</c:v>
          </c:tx>
          <c:spPr>
            <a:solidFill>
              <a:srgbClr val="4B9BAA"/>
            </a:solidFill>
            <a:ln>
              <a:prstDash val="solid"/>
            </a:ln>
          </c:spPr>
          <c:invertIfNegative val="1"/>
          <c:cat>
            <c:numRef>
              <c:f>'Затраты ИКТ организаций 2020'!$B$7:$H$7</c:f>
              <c:numCache>
                <c:formatCode>General</c:formatCode>
                <c:ptCount val="7"/>
                <c:pt idx="0">
                  <c:v>2011</c:v>
                </c:pt>
                <c:pt idx="1">
                  <c:v>2012</c:v>
                </c:pt>
                <c:pt idx="2">
                  <c:v>2013</c:v>
                </c:pt>
                <c:pt idx="3">
                  <c:v>2014</c:v>
                </c:pt>
                <c:pt idx="4">
                  <c:v>2015</c:v>
                </c:pt>
                <c:pt idx="5">
                  <c:v>2016</c:v>
                </c:pt>
                <c:pt idx="6">
                  <c:v>2020</c:v>
                </c:pt>
              </c:numCache>
            </c:numRef>
          </c:cat>
          <c:val>
            <c:numRef>
              <c:f>'Затраты ИКТ организаций 2020'!$B$16:$H$16</c:f>
              <c:numCache>
                <c:formatCode>General</c:formatCode>
                <c:ptCount val="7"/>
                <c:pt idx="0">
                  <c:v>396.1</c:v>
                </c:pt>
                <c:pt idx="1">
                  <c:v>729</c:v>
                </c:pt>
                <c:pt idx="2">
                  <c:v>465.7</c:v>
                </c:pt>
                <c:pt idx="3">
                  <c:v>440.4</c:v>
                </c:pt>
                <c:pt idx="4">
                  <c:v>274</c:v>
                </c:pt>
                <c:pt idx="5">
                  <c:v>46</c:v>
                </c:pt>
                <c:pt idx="6">
                  <c:v>228.8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5-A429-471B-9619-638D5DBC28D0}"/>
            </c:ext>
          </c:extLst>
        </c:ser>
        <c:dLbls>
          <c:showLegendKey val="0"/>
          <c:showVal val="0"/>
          <c:showCatName val="0"/>
          <c:showSerName val="0"/>
          <c:showPercent val="0"/>
          <c:showBubbleSize val="0"/>
        </c:dLbls>
        <c:gapWidth val="60"/>
        <c:overlap val="100"/>
        <c:serLines/>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a:defRPr/>
            </a:pPr>
            <a:r>
              <a:rPr lang="ru-RU"/>
              <a:t>Динамика показателя «Отгружено продукции собственного производства организациями сектора ИКТ, млн руб.»</a:t>
            </a:r>
          </a:p>
        </c:rich>
      </c:tx>
      <c:layout>
        <c:manualLayout>
          <c:xMode val="edge"/>
          <c:yMode val="edge"/>
          <c:x val="0.10427550505050499"/>
          <c:y val="4.8106060606060597E-2"/>
        </c:manualLayout>
      </c:layout>
      <c:overlay val="1"/>
    </c:title>
    <c:autoTitleDeleted val="0"/>
    <c:plotArea>
      <c:layout/>
      <c:barChart>
        <c:barDir val="col"/>
        <c:grouping val="clustered"/>
        <c:varyColors val="1"/>
        <c:ser>
          <c:idx val="0"/>
          <c:order val="0"/>
          <c:tx>
            <c:v>Отгружено продукции, млн руб.</c:v>
          </c:tx>
          <c:spPr>
            <a:solidFill>
              <a:srgbClr val="2E5A88"/>
            </a:solidFill>
            <a:ln>
              <a:prstDash val="solid"/>
            </a:ln>
          </c:spPr>
          <c:invertIfNegative val="1"/>
          <c:dLbls>
            <c:spPr>
              <a:noFill/>
              <a:ln>
                <a:noFill/>
                <a:prstDash val="solid"/>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'3.2 Отгружено продукции ИКТ'!$B$2:$I$2</c:f>
              <c:numCache>
                <c:formatCode>General</c:formatCode>
                <c:ptCount val="8"/>
                <c:pt idx="0">
                  <c:v>2011</c:v>
                </c:pt>
                <c:pt idx="1">
                  <c:v>2012</c:v>
                </c:pt>
                <c:pt idx="2">
                  <c:v>2013</c:v>
                </c:pt>
                <c:pt idx="3">
                  <c:v>2014</c:v>
                </c:pt>
                <c:pt idx="4">
                  <c:v>2015</c:v>
                </c:pt>
                <c:pt idx="5">
                  <c:v>2016</c:v>
                </c:pt>
                <c:pt idx="6">
                  <c:v>2018</c:v>
                </c:pt>
                <c:pt idx="7">
                  <c:v>2020</c:v>
                </c:pt>
              </c:numCache>
            </c:numRef>
          </c:cat>
          <c:val>
            <c:numRef>
              <c:f>'3.2 Отгружено продукции ИКТ'!$B$3:$I$3</c:f>
              <c:numCache>
                <c:formatCode>#,##0</c:formatCode>
                <c:ptCount val="8"/>
                <c:pt idx="0">
                  <c:v>1149.5999999999999</c:v>
                </c:pt>
                <c:pt idx="1">
                  <c:v>2202.1999999999998</c:v>
                </c:pt>
                <c:pt idx="2">
                  <c:v>2851.6</c:v>
                </c:pt>
                <c:pt idx="3">
                  <c:v>3548.4</c:v>
                </c:pt>
                <c:pt idx="4">
                  <c:v>4243.2</c:v>
                </c:pt>
                <c:pt idx="5">
                  <c:v>5436</c:v>
                </c:pt>
                <c:pt idx="6">
                  <c:v>8161</c:v>
                </c:pt>
                <c:pt idx="7">
                  <c:v>12596</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1C3F-49EB-B1FF-516D4A71F099}"/>
            </c:ext>
          </c:extLst>
        </c:ser>
        <c:dLbls>
          <c:showLegendKey val="0"/>
          <c:showVal val="1"/>
          <c:showCatName val="0"/>
          <c:showSerName val="0"/>
          <c:showPercent val="0"/>
          <c:showBubbleSize val="0"/>
        </c:dLbls>
        <c:gapWidth val="6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a:defRPr/>
            </a:pPr>
            <a:r>
              <a:rPr lang="ru-RU"/>
              <a:t>Динамика показателя «Объем данных, потребленных абонентами и пользователями, Пбайт»</a:t>
            </a:r>
          </a:p>
        </c:rich>
      </c:tx>
      <c:layout>
        <c:manualLayout>
          <c:xMode val="edge"/>
          <c:yMode val="edge"/>
          <c:x val="0.1812431712962963"/>
          <c:y val="5.9071729957805907E-2"/>
        </c:manualLayout>
      </c:layout>
      <c:overlay val="1"/>
    </c:title>
    <c:autoTitleDeleted val="0"/>
    <c:plotArea>
      <c:layout>
        <c:manualLayout>
          <c:layoutTarget val="inner"/>
          <c:xMode val="edge"/>
          <c:yMode val="edge"/>
          <c:x val="7.489305555555556E-2"/>
          <c:y val="3.1230716413612851E-2"/>
          <c:w val="0.90893796296296292"/>
          <c:h val="0.83078994872476375"/>
        </c:manualLayout>
      </c:layout>
      <c:barChart>
        <c:barDir val="col"/>
        <c:grouping val="clustered"/>
        <c:varyColors val="1"/>
        <c:ser>
          <c:idx val="0"/>
          <c:order val="0"/>
          <c:tx>
            <c:v>Всего, Пбайт</c:v>
          </c:tx>
          <c:spPr>
            <a:solidFill>
              <a:srgbClr val="2E5A88"/>
            </a:solidFill>
            <a:ln>
              <a:prstDash val="solid"/>
            </a:ln>
          </c:spPr>
          <c:invertIfNegative val="1"/>
          <c:dLbls>
            <c:spPr>
              <a:solidFill>
                <a:schemeClr val="bg1"/>
              </a:solidFill>
              <a:ln>
                <a:solidFill>
                  <a:schemeClr val="accent1"/>
                </a:solidFill>
                <a:prstDash val="solid"/>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'3.3 Объем данных Интернет'!$B$8:$G$8</c:f>
              <c:numCache>
                <c:formatCode>General</c:formatCode>
                <c:ptCount val="6"/>
                <c:pt idx="0">
                  <c:v>2019</c:v>
                </c:pt>
                <c:pt idx="1">
                  <c:v>2020</c:v>
                </c:pt>
                <c:pt idx="2">
                  <c:v>2021</c:v>
                </c:pt>
                <c:pt idx="3">
                  <c:v>2022</c:v>
                </c:pt>
                <c:pt idx="4">
                  <c:v>2023</c:v>
                </c:pt>
                <c:pt idx="5">
                  <c:v>2024</c:v>
                </c:pt>
              </c:numCache>
            </c:numRef>
          </c:cat>
          <c:val>
            <c:numRef>
              <c:f>'3.3 Объем данных Интернет'!$B$9:$G$9</c:f>
              <c:numCache>
                <c:formatCode>#\ ##0.0</c:formatCode>
                <c:ptCount val="6"/>
                <c:pt idx="0">
                  <c:v>3977.4</c:v>
                </c:pt>
                <c:pt idx="1">
                  <c:v>4855.5</c:v>
                </c:pt>
                <c:pt idx="2">
                  <c:v>5950</c:v>
                </c:pt>
                <c:pt idx="3">
                  <c:v>6082</c:v>
                </c:pt>
                <c:pt idx="4">
                  <c:v>7985</c:v>
                </c:pt>
                <c:pt idx="5">
                  <c:v>8692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CE9D-454D-BBC3-C0B15C4299A6}"/>
            </c:ext>
          </c:extLst>
        </c:ser>
        <c:ser>
          <c:idx val="1"/>
          <c:order val="1"/>
          <c:tx>
            <c:v>стационарный широкополосный доступ</c:v>
          </c:tx>
          <c:spPr>
            <a:solidFill>
              <a:srgbClr val="C0504D"/>
            </a:solidFill>
            <a:ln>
              <a:prstDash val="solid"/>
            </a:ln>
          </c:spPr>
          <c:invertIfNegative val="1"/>
          <c:dLbls>
            <c:spPr>
              <a:solidFill>
                <a:schemeClr val="bg1"/>
              </a:solidFill>
              <a:ln>
                <a:solidFill>
                  <a:schemeClr val="accent1"/>
                </a:solidFill>
                <a:prstDash val="solid"/>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'3.3 Объем данных Интернет'!$B$8:$G$8</c:f>
              <c:numCache>
                <c:formatCode>General</c:formatCode>
                <c:ptCount val="6"/>
                <c:pt idx="0">
                  <c:v>2019</c:v>
                </c:pt>
                <c:pt idx="1">
                  <c:v>2020</c:v>
                </c:pt>
                <c:pt idx="2">
                  <c:v>2021</c:v>
                </c:pt>
                <c:pt idx="3">
                  <c:v>2022</c:v>
                </c:pt>
                <c:pt idx="4">
                  <c:v>2023</c:v>
                </c:pt>
                <c:pt idx="5">
                  <c:v>2024</c:v>
                </c:pt>
              </c:numCache>
            </c:numRef>
          </c:cat>
          <c:val>
            <c:numRef>
              <c:f>'3.3 Объем данных Интернет'!$B$10:$G$10</c:f>
              <c:numCache>
                <c:formatCode>#\ ##0.0</c:formatCode>
                <c:ptCount val="6"/>
                <c:pt idx="0">
                  <c:v>3399.2</c:v>
                </c:pt>
                <c:pt idx="1">
                  <c:v>3985.1</c:v>
                </c:pt>
                <c:pt idx="2">
                  <c:v>4850</c:v>
                </c:pt>
                <c:pt idx="3">
                  <c:v>4694</c:v>
                </c:pt>
                <c:pt idx="4">
                  <c:v>6415</c:v>
                </c:pt>
                <c:pt idx="5">
                  <c:v>7096</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CE9D-454D-BBC3-C0B15C4299A6}"/>
            </c:ext>
          </c:extLst>
        </c:ser>
        <c:ser>
          <c:idx val="2"/>
          <c:order val="2"/>
          <c:tx>
            <c:v>беспроводной широкополосный доступ</c:v>
          </c:tx>
          <c:spPr>
            <a:solidFill>
              <a:srgbClr val="6B8E4E"/>
            </a:solidFill>
            <a:ln>
              <a:prstDash val="solid"/>
            </a:ln>
          </c:spPr>
          <c:invertIfNegative val="1"/>
          <c:dLbls>
            <c:spPr>
              <a:solidFill>
                <a:schemeClr val="bg1"/>
              </a:solidFill>
              <a:ln>
                <a:solidFill>
                  <a:schemeClr val="accent1"/>
                </a:solidFill>
                <a:prstDash val="solid"/>
              </a:ln>
            </c:spPr>
            <c:txPr>
              <a:bodyPr wrap="square" lIns="38100" tIns="19050" rIns="38100" bIns="19050" anchor="ctr">
                <a:spAutoFit/>
              </a:bodyPr>
              <a:lstStyle/>
              <a:p>
                <a:pPr>
                  <a:defRPr>
                    <a:solidFill>
                      <a:schemeClr val="tx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'3.3 Объем данных Интернет'!$B$8:$G$8</c:f>
              <c:numCache>
                <c:formatCode>General</c:formatCode>
                <c:ptCount val="6"/>
                <c:pt idx="0">
                  <c:v>2019</c:v>
                </c:pt>
                <c:pt idx="1">
                  <c:v>2020</c:v>
                </c:pt>
                <c:pt idx="2">
                  <c:v>2021</c:v>
                </c:pt>
                <c:pt idx="3">
                  <c:v>2022</c:v>
                </c:pt>
                <c:pt idx="4">
                  <c:v>2023</c:v>
                </c:pt>
                <c:pt idx="5">
                  <c:v>2024</c:v>
                </c:pt>
              </c:numCache>
            </c:numRef>
          </c:cat>
          <c:val>
            <c:numRef>
              <c:f>'3.3 Объем данных Интернет'!$B$11:$G$11</c:f>
              <c:numCache>
                <c:formatCode>#\ ##0.0</c:formatCode>
                <c:ptCount val="6"/>
                <c:pt idx="0">
                  <c:v>578.20000000000005</c:v>
                </c:pt>
                <c:pt idx="1">
                  <c:v>870.4</c:v>
                </c:pt>
                <c:pt idx="2">
                  <c:v>1100</c:v>
                </c:pt>
                <c:pt idx="3">
                  <c:v>1388</c:v>
                </c:pt>
                <c:pt idx="4">
                  <c:v>1570</c:v>
                </c:pt>
                <c:pt idx="5">
                  <c:v>1596</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2-CE9D-454D-BBC3-C0B15C4299A6}"/>
            </c:ext>
          </c:extLst>
        </c:ser>
        <c:dLbls>
          <c:showLegendKey val="0"/>
          <c:showVal val="1"/>
          <c:showCatName val="0"/>
          <c:showSerName val="0"/>
          <c:showPercent val="0"/>
          <c:showBubbleSize val="0"/>
        </c:dLbls>
        <c:gapWidth val="6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 ##0.0" sourceLinked="1"/>
        <c:majorTickMark val="none"/>
        <c:minorTickMark val="none"/>
        <c:tickLblPos val="nextTo"/>
        <c:crossAx val="10"/>
        <c:crosses val="autoZero"/>
        <c:crossBetween val="between"/>
      </c:valAx>
    </c:plotArea>
    <c:legend>
      <c:legendPos val="r"/>
      <c:layout>
        <c:manualLayout>
          <c:xMode val="edge"/>
          <c:yMode val="edge"/>
          <c:x val="0.1889645833333333"/>
          <c:y val="0.91310320387166799"/>
          <c:w val="0.68315347222222222"/>
          <c:h val="7.8339701208235052E-2"/>
        </c:manualLayout>
      </c:layout>
      <c:overlay val="1"/>
    </c:legend>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a:defRPr/>
            </a:pPr>
            <a:r>
              <a:rPr lang="ru-RU"/>
              <a:t>Динамика показателя «Экспорт товаров сектора ИКТ, млн долл. США»</a:t>
            </a:r>
          </a:p>
        </c:rich>
      </c:tx>
      <c:layout>
        <c:manualLayout>
          <c:xMode val="edge"/>
          <c:yMode val="edge"/>
          <c:x val="0.24793623737373741"/>
          <c:y val="4.8106060606060597E-2"/>
        </c:manualLayout>
      </c:layout>
      <c:overlay val="1"/>
    </c:title>
    <c:autoTitleDeleted val="0"/>
    <c:plotArea>
      <c:layout/>
      <c:barChart>
        <c:barDir val="col"/>
        <c:grouping val="clustered"/>
        <c:varyColors val="1"/>
        <c:ser>
          <c:idx val="0"/>
          <c:order val="0"/>
          <c:tx>
            <c:v>Экспорт товаров, млн долл. США</c:v>
          </c:tx>
          <c:spPr>
            <a:solidFill>
              <a:srgbClr val="2E5A88"/>
            </a:solidFill>
            <a:ln>
              <a:prstDash val="solid"/>
            </a:ln>
          </c:spPr>
          <c:invertIfNegative val="1"/>
          <c:dLbls>
            <c:spPr>
              <a:noFill/>
              <a:ln>
                <a:noFill/>
                <a:prstDash val="solid"/>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'4.1 Экспорт товаров ИКТ'!$B$22:$I$22</c:f>
              <c:numCache>
                <c:formatCode>General</c:formatCode>
                <c:ptCount val="8"/>
                <c:pt idx="0">
                  <c:v>2013</c:v>
                </c:pt>
                <c:pt idx="1">
                  <c:v>2014</c:v>
                </c:pt>
                <c:pt idx="2">
                  <c:v>2015</c:v>
                </c:pt>
                <c:pt idx="3">
                  <c:v>2016</c:v>
                </c:pt>
                <c:pt idx="4">
                  <c:v>2017</c:v>
                </c:pt>
                <c:pt idx="5">
                  <c:v>2018</c:v>
                </c:pt>
                <c:pt idx="6">
                  <c:v>2019</c:v>
                </c:pt>
                <c:pt idx="7">
                  <c:v>2020</c:v>
                </c:pt>
              </c:numCache>
            </c:numRef>
          </c:cat>
          <c:val>
            <c:numRef>
              <c:f>'4.1 Экспорт товаров ИКТ'!$B$23:$I$23</c:f>
              <c:numCache>
                <c:formatCode>General</c:formatCode>
                <c:ptCount val="8"/>
                <c:pt idx="0">
                  <c:v>392.3</c:v>
                </c:pt>
                <c:pt idx="1">
                  <c:v>341.2</c:v>
                </c:pt>
                <c:pt idx="2">
                  <c:v>232.4</c:v>
                </c:pt>
                <c:pt idx="3">
                  <c:v>259.2</c:v>
                </c:pt>
                <c:pt idx="4">
                  <c:v>299.8</c:v>
                </c:pt>
                <c:pt idx="5">
                  <c:v>346.2</c:v>
                </c:pt>
                <c:pt idx="6">
                  <c:v>374.4</c:v>
                </c:pt>
                <c:pt idx="7">
                  <c:v>404.9</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6C2E-4767-8592-D9EA16D73EDB}"/>
            </c:ext>
          </c:extLst>
        </c:ser>
        <c:dLbls>
          <c:showLegendKey val="0"/>
          <c:showVal val="1"/>
          <c:showCatName val="0"/>
          <c:showSerName val="0"/>
          <c:showPercent val="0"/>
          <c:showBubbleSize val="0"/>
        </c:dLbls>
        <c:gapWidth val="6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a:defRPr/>
            </a:pPr>
            <a:r>
              <a:rPr lang="ru-RU"/>
              <a:t>Динамика показателя «Импорт товаров сектора ИКТ, млн долл. США»</a:t>
            </a:r>
          </a:p>
        </c:rich>
      </c:tx>
      <c:layout>
        <c:manualLayout>
          <c:xMode val="edge"/>
          <c:yMode val="edge"/>
          <c:x val="0.24862575757575761"/>
          <c:y val="4.169191919191919E-2"/>
        </c:manualLayout>
      </c:layout>
      <c:overlay val="1"/>
    </c:title>
    <c:autoTitleDeleted val="0"/>
    <c:plotArea>
      <c:layout/>
      <c:barChart>
        <c:barDir val="col"/>
        <c:grouping val="clustered"/>
        <c:varyColors val="1"/>
        <c:ser>
          <c:idx val="0"/>
          <c:order val="0"/>
          <c:tx>
            <c:v>Импорт товаров, млн долл. США</c:v>
          </c:tx>
          <c:spPr>
            <a:solidFill>
              <a:srgbClr val="2E5A88"/>
            </a:solidFill>
            <a:ln>
              <a:prstDash val="solid"/>
            </a:ln>
          </c:spPr>
          <c:invertIfNegative val="1"/>
          <c:dLbls>
            <c:spPr>
              <a:noFill/>
              <a:ln>
                <a:noFill/>
                <a:prstDash val="solid"/>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'4.2 Импорт товаров ИКТ'!$B$25:$I$25</c:f>
              <c:numCache>
                <c:formatCode>General</c:formatCode>
                <c:ptCount val="8"/>
                <c:pt idx="0">
                  <c:v>2013</c:v>
                </c:pt>
                <c:pt idx="1">
                  <c:v>2014</c:v>
                </c:pt>
                <c:pt idx="2">
                  <c:v>2015</c:v>
                </c:pt>
                <c:pt idx="3">
                  <c:v>2016</c:v>
                </c:pt>
                <c:pt idx="4">
                  <c:v>2017</c:v>
                </c:pt>
                <c:pt idx="5">
                  <c:v>2018</c:v>
                </c:pt>
                <c:pt idx="6">
                  <c:v>2019</c:v>
                </c:pt>
                <c:pt idx="7">
                  <c:v>2020</c:v>
                </c:pt>
              </c:numCache>
            </c:numRef>
          </c:cat>
          <c:val>
            <c:numRef>
              <c:f>'4.2 Импорт товаров ИКТ'!$B$26:$I$26</c:f>
              <c:numCache>
                <c:formatCode>#,##0.00</c:formatCode>
                <c:ptCount val="8"/>
                <c:pt idx="0" formatCode="General">
                  <c:v>1570.9</c:v>
                </c:pt>
                <c:pt idx="1">
                  <c:v>1302.8</c:v>
                </c:pt>
                <c:pt idx="2">
                  <c:v>885.1</c:v>
                </c:pt>
                <c:pt idx="3">
                  <c:v>909.7</c:v>
                </c:pt>
                <c:pt idx="4" formatCode="General">
                  <c:v>1130</c:v>
                </c:pt>
                <c:pt idx="5" formatCode="General">
                  <c:v>1406.3</c:v>
                </c:pt>
                <c:pt idx="6">
                  <c:v>1481.6</c:v>
                </c:pt>
                <c:pt idx="7">
                  <c:v>1296.0999999999999</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C966-45D0-B4FF-7E6E2964D479}"/>
            </c:ext>
          </c:extLst>
        </c:ser>
        <c:dLbls>
          <c:showLegendKey val="0"/>
          <c:showVal val="1"/>
          <c:showCatName val="0"/>
          <c:showSerName val="0"/>
          <c:showPercent val="0"/>
          <c:showBubbleSize val="0"/>
        </c:dLbls>
        <c:gapWidth val="6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a:defRPr/>
            </a:pPr>
            <a:r>
              <a:rPr lang="ru-RU"/>
              <a:t>Использование ИКТ в организациях по областям и г. Минску в 2024 году, %</a:t>
            </a:r>
          </a:p>
        </c:rich>
      </c:tx>
      <c:layout>
        <c:manualLayout>
          <c:xMode val="edge"/>
          <c:yMode val="edge"/>
          <c:x val="0.2777866898148148"/>
          <c:y val="1.702127279359518E-2"/>
        </c:manualLayout>
      </c:layout>
      <c:overlay val="1"/>
    </c:title>
    <c:autoTitleDeleted val="0"/>
    <c:plotArea>
      <c:layout>
        <c:manualLayout>
          <c:layoutTarget val="inner"/>
          <c:xMode val="edge"/>
          <c:yMode val="edge"/>
          <c:x val="4.9213773148148149E-2"/>
          <c:y val="6.9996522031267772E-2"/>
          <c:w val="0.93461724537037039"/>
          <c:h val="0.78606136459231257"/>
        </c:manualLayout>
      </c:layout>
      <c:barChart>
        <c:barDir val="col"/>
        <c:grouping val="clustered"/>
        <c:varyColors val="1"/>
        <c:ser>
          <c:idx val="0"/>
          <c:order val="0"/>
          <c:tx>
            <c:v>Локальные вычислительные сети</c:v>
          </c:tx>
          <c:spPr>
            <a:solidFill>
              <a:srgbClr val="2E5A88"/>
            </a:solidFill>
            <a:ln>
              <a:prstDash val="solid"/>
            </a:ln>
          </c:spPr>
          <c:invertIfNegative val="1"/>
          <c:dLbls>
            <c:spPr>
              <a:noFill/>
              <a:ln>
                <a:noFill/>
                <a:prstDash val="solid"/>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'4.2 ИКТ по областям'!$A$8:$A$15</c:f>
              <c:strCache>
                <c:ptCount val="8"/>
                <c:pt idx="0">
                  <c:v>Республика Беларусь</c:v>
                </c:pt>
                <c:pt idx="1">
                  <c:v>Брестская</c:v>
                </c:pt>
                <c:pt idx="2">
                  <c:v>Витебская</c:v>
                </c:pt>
                <c:pt idx="3">
                  <c:v>Гомельская</c:v>
                </c:pt>
                <c:pt idx="4">
                  <c:v>Гродненская</c:v>
                </c:pt>
                <c:pt idx="5">
                  <c:v>г. Минск</c:v>
                </c:pt>
                <c:pt idx="6">
                  <c:v>Минская</c:v>
                </c:pt>
                <c:pt idx="7">
                  <c:v>Могилевская</c:v>
                </c:pt>
              </c:strCache>
            </c:strRef>
          </c:cat>
          <c:val>
            <c:numRef>
              <c:f>'4.2 ИКТ по областям'!$B$8:$B$15</c:f>
              <c:numCache>
                <c:formatCode>0.0</c:formatCode>
                <c:ptCount val="8"/>
                <c:pt idx="0">
                  <c:v>79</c:v>
                </c:pt>
                <c:pt idx="1">
                  <c:v>85.1</c:v>
                </c:pt>
                <c:pt idx="2">
                  <c:v>80.3</c:v>
                </c:pt>
                <c:pt idx="3">
                  <c:v>79.8</c:v>
                </c:pt>
                <c:pt idx="4">
                  <c:v>85.1</c:v>
                </c:pt>
                <c:pt idx="5">
                  <c:v>74.2</c:v>
                </c:pt>
                <c:pt idx="6">
                  <c:v>82.7</c:v>
                </c:pt>
                <c:pt idx="7">
                  <c:v>83.5</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5A03-4EC5-908C-C0A5F3BB611C}"/>
            </c:ext>
          </c:extLst>
        </c:ser>
        <c:ser>
          <c:idx val="1"/>
          <c:order val="1"/>
          <c:tx>
            <c:v>Облачные сервисы</c:v>
          </c:tx>
          <c:spPr>
            <a:solidFill>
              <a:srgbClr val="C0504D"/>
            </a:solidFill>
            <a:ln>
              <a:prstDash val="solid"/>
            </a:ln>
          </c:spPr>
          <c:invertIfNegative val="1"/>
          <c:dLbls>
            <c:spPr>
              <a:noFill/>
              <a:ln>
                <a:noFill/>
                <a:prstDash val="solid"/>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'4.2 ИКТ по областям'!$A$8:$A$15</c:f>
              <c:strCache>
                <c:ptCount val="8"/>
                <c:pt idx="0">
                  <c:v>Республика Беларусь</c:v>
                </c:pt>
                <c:pt idx="1">
                  <c:v>Брестская</c:v>
                </c:pt>
                <c:pt idx="2">
                  <c:v>Витебская</c:v>
                </c:pt>
                <c:pt idx="3">
                  <c:v>Гомельская</c:v>
                </c:pt>
                <c:pt idx="4">
                  <c:v>Гродненская</c:v>
                </c:pt>
                <c:pt idx="5">
                  <c:v>г. Минск</c:v>
                </c:pt>
                <c:pt idx="6">
                  <c:v>Минская</c:v>
                </c:pt>
                <c:pt idx="7">
                  <c:v>Могилевская</c:v>
                </c:pt>
              </c:strCache>
            </c:strRef>
          </c:cat>
          <c:val>
            <c:numRef>
              <c:f>'4.2 ИКТ по областям'!$D$8:$D$15</c:f>
              <c:numCache>
                <c:formatCode>0.0</c:formatCode>
                <c:ptCount val="8"/>
                <c:pt idx="0">
                  <c:v>41.2</c:v>
                </c:pt>
                <c:pt idx="1">
                  <c:v>32.299999999999997</c:v>
                </c:pt>
                <c:pt idx="2">
                  <c:v>43.6</c:v>
                </c:pt>
                <c:pt idx="3">
                  <c:v>33.200000000000003</c:v>
                </c:pt>
                <c:pt idx="4">
                  <c:v>42.4</c:v>
                </c:pt>
                <c:pt idx="5">
                  <c:v>44.2</c:v>
                </c:pt>
                <c:pt idx="6">
                  <c:v>39.200000000000003</c:v>
                </c:pt>
                <c:pt idx="7">
                  <c:v>45.3</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5A03-4EC5-908C-C0A5F3BB611C}"/>
            </c:ext>
          </c:extLst>
        </c:ser>
        <c:dLbls>
          <c:showLegendKey val="0"/>
          <c:showVal val="1"/>
          <c:showCatName val="0"/>
          <c:showSerName val="0"/>
          <c:showPercent val="0"/>
          <c:showBubbleSize val="0"/>
        </c:dLbls>
        <c:gapWidth val="6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0.0" sourceLinked="1"/>
        <c:majorTickMark val="none"/>
        <c:minorTickMark val="none"/>
        <c:tickLblPos val="nextTo"/>
        <c:crossAx val="10"/>
        <c:crosses val="autoZero"/>
        <c:crossBetween val="between"/>
      </c:valAx>
    </c:plotArea>
    <c:legend>
      <c:legendPos val="r"/>
      <c:layout>
        <c:manualLayout>
          <c:xMode val="edge"/>
          <c:yMode val="edge"/>
          <c:x val="0.28784525462962962"/>
          <c:y val="0.92331706858790297"/>
          <c:w val="0.45639085648148148"/>
          <c:h val="6.3134457186140316E-2"/>
        </c:manualLayout>
      </c:layout>
      <c:overlay val="1"/>
    </c:legend>
    <c:plotVisOnly val="1"/>
    <c:dispBlanksAs val="gap"/>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a:defRPr/>
            </a:pPr>
            <a:r>
              <a:rPr lang="ru-RU"/>
              <a:t>Динамика показателя «Экспорт услуг сектора ИКТ, млн долл. США»</a:t>
            </a:r>
          </a:p>
        </c:rich>
      </c:tx>
      <c:layout>
        <c:manualLayout>
          <c:xMode val="edge"/>
          <c:yMode val="edge"/>
          <c:x val="8.1068981481481506E-2"/>
          <c:y val="4.8106060606060597E-2"/>
        </c:manualLayout>
      </c:layout>
      <c:overlay val="1"/>
    </c:title>
    <c:autoTitleDeleted val="0"/>
    <c:plotArea>
      <c:layout>
        <c:manualLayout>
          <c:layoutTarget val="inner"/>
          <c:xMode val="edge"/>
          <c:yMode val="edge"/>
          <c:x val="5.2998726851851849E-2"/>
          <c:y val="3.1429638174209122E-2"/>
          <c:w val="0.9308322916666667"/>
          <c:h val="0.8240504650294509"/>
        </c:manualLayout>
      </c:layout>
      <c:barChart>
        <c:barDir val="col"/>
        <c:grouping val="clustered"/>
        <c:varyColors val="1"/>
        <c:ser>
          <c:idx val="0"/>
          <c:order val="0"/>
          <c:tx>
            <c:v>Экспорт услуг, млн долл. США</c:v>
          </c:tx>
          <c:spPr>
            <a:solidFill>
              <a:srgbClr val="2E5A88"/>
            </a:solidFill>
            <a:ln>
              <a:prstDash val="solid"/>
            </a:ln>
          </c:spPr>
          <c:invertIfNegative val="1"/>
          <c:dLbls>
            <c:spPr>
              <a:solidFill>
                <a:schemeClr val="bg1"/>
              </a:solidFill>
              <a:ln>
                <a:solidFill>
                  <a:schemeClr val="tx1"/>
                </a:solidFill>
                <a:prstDash val="solid"/>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'4.6 Экспорт услуг ИКТ'!$B$7:$K$7</c:f>
              <c:numCache>
                <c:formatCode>General</c:formatCode>
                <c:ptCount val="10"/>
                <c:pt idx="0">
                  <c:v>2011</c:v>
                </c:pt>
                <c:pt idx="1">
                  <c:v>2012</c:v>
                </c:pt>
                <c:pt idx="2">
                  <c:v>2013</c:v>
                </c:pt>
                <c:pt idx="3">
                  <c:v>2014</c:v>
                </c:pt>
                <c:pt idx="4">
                  <c:v>2015</c:v>
                </c:pt>
                <c:pt idx="5">
                  <c:v>2016</c:v>
                </c:pt>
                <c:pt idx="6">
                  <c:v>2017</c:v>
                </c:pt>
                <c:pt idx="7">
                  <c:v>2018</c:v>
                </c:pt>
                <c:pt idx="8">
                  <c:v>2019</c:v>
                </c:pt>
                <c:pt idx="9">
                  <c:v>2020</c:v>
                </c:pt>
              </c:numCache>
            </c:numRef>
          </c:cat>
          <c:val>
            <c:numRef>
              <c:f>'4.6 Экспорт услуг ИКТ'!$B$8:$K$8</c:f>
              <c:numCache>
                <c:formatCode>General</c:formatCode>
                <c:ptCount val="10"/>
                <c:pt idx="0">
                  <c:v>456.4</c:v>
                </c:pt>
                <c:pt idx="1">
                  <c:v>592.20000000000005</c:v>
                </c:pt>
                <c:pt idx="2">
                  <c:v>740.8</c:v>
                </c:pt>
                <c:pt idx="3">
                  <c:v>897</c:v>
                </c:pt>
                <c:pt idx="4" formatCode="#,##0.00">
                  <c:v>1003.5</c:v>
                </c:pt>
                <c:pt idx="5" formatCode="#,##0.00">
                  <c:v>1152.3</c:v>
                </c:pt>
                <c:pt idx="6">
                  <c:v>1445.3</c:v>
                </c:pt>
                <c:pt idx="7">
                  <c:v>1840.5</c:v>
                </c:pt>
                <c:pt idx="8" formatCode="#,##0.00">
                  <c:v>2392.5</c:v>
                </c:pt>
                <c:pt idx="9" formatCode="#,##0.00">
                  <c:v>2685.2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5D55-4223-8EC1-E745F789C563}"/>
            </c:ext>
          </c:extLst>
        </c:ser>
        <c:ser>
          <c:idx val="1"/>
          <c:order val="1"/>
          <c:tx>
            <c:v>компьютерные услуги</c:v>
          </c:tx>
          <c:spPr>
            <a:solidFill>
              <a:srgbClr val="C0504D"/>
            </a:solidFill>
            <a:ln>
              <a:prstDash val="solid"/>
            </a:ln>
          </c:spPr>
          <c:invertIfNegative val="1"/>
          <c:dLbls>
            <c:spPr>
              <a:solidFill>
                <a:schemeClr val="bg1"/>
              </a:solidFill>
              <a:ln>
                <a:solidFill>
                  <a:schemeClr val="tx1"/>
                </a:solidFill>
                <a:prstDash val="solid"/>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'4.6 Экспорт услуг ИКТ'!$B$7:$K$7</c:f>
              <c:numCache>
                <c:formatCode>General</c:formatCode>
                <c:ptCount val="10"/>
                <c:pt idx="0">
                  <c:v>2011</c:v>
                </c:pt>
                <c:pt idx="1">
                  <c:v>2012</c:v>
                </c:pt>
                <c:pt idx="2">
                  <c:v>2013</c:v>
                </c:pt>
                <c:pt idx="3">
                  <c:v>2014</c:v>
                </c:pt>
                <c:pt idx="4">
                  <c:v>2015</c:v>
                </c:pt>
                <c:pt idx="5">
                  <c:v>2016</c:v>
                </c:pt>
                <c:pt idx="6">
                  <c:v>2017</c:v>
                </c:pt>
                <c:pt idx="7">
                  <c:v>2018</c:v>
                </c:pt>
                <c:pt idx="8">
                  <c:v>2019</c:v>
                </c:pt>
                <c:pt idx="9">
                  <c:v>2020</c:v>
                </c:pt>
              </c:numCache>
            </c:numRef>
          </c:cat>
          <c:val>
            <c:numRef>
              <c:f>'4.6 Экспорт услуг ИКТ'!$B$11:$K$11</c:f>
              <c:numCache>
                <c:formatCode>General</c:formatCode>
                <c:ptCount val="10"/>
                <c:pt idx="0">
                  <c:v>272.7</c:v>
                </c:pt>
                <c:pt idx="1">
                  <c:v>402.1</c:v>
                </c:pt>
                <c:pt idx="2">
                  <c:v>545.5</c:v>
                </c:pt>
                <c:pt idx="3">
                  <c:v>684.3</c:v>
                </c:pt>
                <c:pt idx="4">
                  <c:v>813.4</c:v>
                </c:pt>
                <c:pt idx="5">
                  <c:v>951.5</c:v>
                </c:pt>
                <c:pt idx="6">
                  <c:v>1195.9000000000001</c:v>
                </c:pt>
                <c:pt idx="7">
                  <c:v>1573</c:v>
                </c:pt>
                <c:pt idx="8" formatCode="#,##0.00">
                  <c:v>2105.3000000000002</c:v>
                </c:pt>
                <c:pt idx="9" formatCode="#,##0.00">
                  <c:v>2509.9</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5D55-4223-8EC1-E745F789C563}"/>
            </c:ext>
          </c:extLst>
        </c:ser>
        <c:dLbls>
          <c:showLegendKey val="0"/>
          <c:showVal val="1"/>
          <c:showCatName val="0"/>
          <c:showSerName val="0"/>
          <c:showPercent val="0"/>
          <c:showBubbleSize val="0"/>
        </c:dLbls>
        <c:gapWidth val="6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General" sourceLinked="1"/>
        <c:majorTickMark val="none"/>
        <c:minorTickMark val="none"/>
        <c:tickLblPos val="nextTo"/>
        <c:crossAx val="10"/>
        <c:crosses val="autoZero"/>
        <c:crossBetween val="between"/>
      </c:valAx>
    </c:plotArea>
    <c:legend>
      <c:legendPos val="r"/>
      <c:layout>
        <c:manualLayout>
          <c:xMode val="edge"/>
          <c:yMode val="edge"/>
          <c:x val="0.32837800925925931"/>
          <c:y val="0.90740848476742952"/>
          <c:w val="0.39086967592592597"/>
          <c:h val="6.5579127449833102E-2"/>
        </c:manualLayout>
      </c:layout>
      <c:overlay val="1"/>
    </c:legend>
    <c:plotVisOnly val="1"/>
    <c:dispBlanksAs val="gap"/>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a:defRPr/>
            </a:pPr>
            <a:r>
              <a:rPr lang="ru-RU"/>
              <a:t>Динамика показателя «Импорт услуг сектора ИКТ, млн долл. США»</a:t>
            </a:r>
          </a:p>
        </c:rich>
      </c:tx>
      <c:layout>
        <c:manualLayout>
          <c:xMode val="edge"/>
          <c:yMode val="edge"/>
          <c:x val="7.0933964646464676E-2"/>
          <c:y val="4.4898989898989897E-2"/>
        </c:manualLayout>
      </c:layout>
      <c:overlay val="1"/>
    </c:title>
    <c:autoTitleDeleted val="0"/>
    <c:plotArea>
      <c:layout/>
      <c:barChart>
        <c:barDir val="col"/>
        <c:grouping val="clustered"/>
        <c:varyColors val="1"/>
        <c:ser>
          <c:idx val="0"/>
          <c:order val="0"/>
          <c:tx>
            <c:v>Импорт услуг, млн долл. США</c:v>
          </c:tx>
          <c:spPr>
            <a:solidFill>
              <a:srgbClr val="2E5A88"/>
            </a:solidFill>
            <a:ln>
              <a:prstDash val="solid"/>
            </a:ln>
          </c:spPr>
          <c:invertIfNegative val="1"/>
          <c:dLbls>
            <c:spPr>
              <a:solidFill>
                <a:schemeClr val="bg1"/>
              </a:solidFill>
              <a:ln>
                <a:solidFill>
                  <a:schemeClr val="tx1"/>
                </a:solidFill>
                <a:prstDash val="solid"/>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'4.7 Импорт услуг ИКТ'!$B$9:$K$9</c:f>
              <c:numCache>
                <c:formatCode>General</c:formatCode>
                <c:ptCount val="10"/>
                <c:pt idx="0">
                  <c:v>2011</c:v>
                </c:pt>
                <c:pt idx="1">
                  <c:v>2012</c:v>
                </c:pt>
                <c:pt idx="2">
                  <c:v>2013</c:v>
                </c:pt>
                <c:pt idx="3">
                  <c:v>2014</c:v>
                </c:pt>
                <c:pt idx="4">
                  <c:v>2015</c:v>
                </c:pt>
                <c:pt idx="5">
                  <c:v>2016</c:v>
                </c:pt>
                <c:pt idx="6">
                  <c:v>2017</c:v>
                </c:pt>
                <c:pt idx="7">
                  <c:v>2018</c:v>
                </c:pt>
                <c:pt idx="8">
                  <c:v>2019</c:v>
                </c:pt>
                <c:pt idx="9">
                  <c:v>2020</c:v>
                </c:pt>
              </c:numCache>
            </c:numRef>
          </c:cat>
          <c:val>
            <c:numRef>
              <c:f>'4.7 Импорт услуг ИКТ'!$B$10:$K$10</c:f>
              <c:numCache>
                <c:formatCode>General</c:formatCode>
                <c:ptCount val="10"/>
                <c:pt idx="0">
                  <c:v>180.2</c:v>
                </c:pt>
                <c:pt idx="1">
                  <c:v>206.4</c:v>
                </c:pt>
                <c:pt idx="2">
                  <c:v>194.1</c:v>
                </c:pt>
                <c:pt idx="3">
                  <c:v>223</c:v>
                </c:pt>
                <c:pt idx="4">
                  <c:v>206.1</c:v>
                </c:pt>
                <c:pt idx="5">
                  <c:v>231.6</c:v>
                </c:pt>
                <c:pt idx="6">
                  <c:v>236.1</c:v>
                </c:pt>
                <c:pt idx="7">
                  <c:v>279.10000000000002</c:v>
                </c:pt>
                <c:pt idx="8" formatCode="#,##0.00">
                  <c:v>403.9</c:v>
                </c:pt>
                <c:pt idx="9" formatCode="#,##0.00">
                  <c:v>423.1</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79F6-4CAD-9450-ED673CEF49DB}"/>
            </c:ext>
          </c:extLst>
        </c:ser>
        <c:dLbls>
          <c:showLegendKey val="0"/>
          <c:showVal val="1"/>
          <c:showCatName val="0"/>
          <c:showSerName val="0"/>
          <c:showPercent val="0"/>
          <c:showBubbleSize val="0"/>
        </c:dLbls>
        <c:gapWidth val="6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a:defRPr/>
            </a:pPr>
            <a:r>
              <a:rPr lang="ru-RU"/>
              <a:t>Структура импорта услуг сектора ИКТ, млн долл. США</a:t>
            </a:r>
          </a:p>
        </c:rich>
      </c:tx>
      <c:layout>
        <c:manualLayout>
          <c:xMode val="edge"/>
          <c:yMode val="edge"/>
          <c:x val="9.2078587962962949E-2"/>
          <c:y val="5.8796296296296298E-2"/>
        </c:manualLayout>
      </c:layout>
      <c:overlay val="1"/>
    </c:title>
    <c:autoTitleDeleted val="0"/>
    <c:plotArea>
      <c:layout>
        <c:manualLayout>
          <c:layoutTarget val="inner"/>
          <c:xMode val="edge"/>
          <c:yMode val="edge"/>
          <c:x val="4.5546296296296293E-2"/>
          <c:y val="3.0776208625684979E-2"/>
          <c:w val="0.93828472222222226"/>
          <c:h val="0.8443405101269752"/>
        </c:manualLayout>
      </c:layout>
      <c:barChart>
        <c:barDir val="col"/>
        <c:grouping val="stacked"/>
        <c:varyColors val="1"/>
        <c:ser>
          <c:idx val="0"/>
          <c:order val="0"/>
          <c:tx>
            <c:v>телекоммуникационные услуги</c:v>
          </c:tx>
          <c:spPr>
            <a:solidFill>
              <a:srgbClr val="2E5A88"/>
            </a:solidFill>
            <a:ln>
              <a:prstDash val="solid"/>
            </a:ln>
          </c:spPr>
          <c:invertIfNegative val="1"/>
          <c:dLbls>
            <c:spPr>
              <a:noFill/>
              <a:ln>
                <a:noFill/>
                <a:prstDash val="solid"/>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'4.7 Импорт услуг ИКТ'!$B$9:$K$9</c:f>
              <c:numCache>
                <c:formatCode>General</c:formatCode>
                <c:ptCount val="10"/>
                <c:pt idx="0">
                  <c:v>2011</c:v>
                </c:pt>
                <c:pt idx="1">
                  <c:v>2012</c:v>
                </c:pt>
                <c:pt idx="2">
                  <c:v>2013</c:v>
                </c:pt>
                <c:pt idx="3">
                  <c:v>2014</c:v>
                </c:pt>
                <c:pt idx="4">
                  <c:v>2015</c:v>
                </c:pt>
                <c:pt idx="5">
                  <c:v>2016</c:v>
                </c:pt>
                <c:pt idx="6">
                  <c:v>2017</c:v>
                </c:pt>
                <c:pt idx="7">
                  <c:v>2018</c:v>
                </c:pt>
                <c:pt idx="8">
                  <c:v>2019</c:v>
                </c:pt>
                <c:pt idx="9">
                  <c:v>2020</c:v>
                </c:pt>
              </c:numCache>
            </c:numRef>
          </c:cat>
          <c:val>
            <c:numRef>
              <c:f>'4.7 Импорт услуг ИКТ'!$B$12:$K$12</c:f>
              <c:numCache>
                <c:formatCode>General</c:formatCode>
                <c:ptCount val="10"/>
                <c:pt idx="0">
                  <c:v>127.8</c:v>
                </c:pt>
                <c:pt idx="1">
                  <c:v>143.5</c:v>
                </c:pt>
                <c:pt idx="2">
                  <c:v>114.1</c:v>
                </c:pt>
                <c:pt idx="3">
                  <c:v>124</c:v>
                </c:pt>
                <c:pt idx="4">
                  <c:v>113.1</c:v>
                </c:pt>
                <c:pt idx="5">
                  <c:v>110.6</c:v>
                </c:pt>
                <c:pt idx="6">
                  <c:v>122</c:v>
                </c:pt>
                <c:pt idx="7">
                  <c:v>143.9</c:v>
                </c:pt>
                <c:pt idx="8">
                  <c:v>171.1</c:v>
                </c:pt>
                <c:pt idx="9">
                  <c:v>122.9</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389D-4471-987D-7AC58F654D27}"/>
            </c:ext>
          </c:extLst>
        </c:ser>
        <c:ser>
          <c:idx val="1"/>
          <c:order val="1"/>
          <c:tx>
            <c:v>компьютерные услуги</c:v>
          </c:tx>
          <c:spPr>
            <a:solidFill>
              <a:srgbClr val="C0504D"/>
            </a:solidFill>
            <a:ln>
              <a:prstDash val="solid"/>
            </a:ln>
          </c:spPr>
          <c:invertIfNegative val="1"/>
          <c:dLbls>
            <c:spPr>
              <a:noFill/>
              <a:ln>
                <a:noFill/>
                <a:prstDash val="solid"/>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'4.7 Импорт услуг ИКТ'!$B$9:$K$9</c:f>
              <c:numCache>
                <c:formatCode>General</c:formatCode>
                <c:ptCount val="10"/>
                <c:pt idx="0">
                  <c:v>2011</c:v>
                </c:pt>
                <c:pt idx="1">
                  <c:v>2012</c:v>
                </c:pt>
                <c:pt idx="2">
                  <c:v>2013</c:v>
                </c:pt>
                <c:pt idx="3">
                  <c:v>2014</c:v>
                </c:pt>
                <c:pt idx="4">
                  <c:v>2015</c:v>
                </c:pt>
                <c:pt idx="5">
                  <c:v>2016</c:v>
                </c:pt>
                <c:pt idx="6">
                  <c:v>2017</c:v>
                </c:pt>
                <c:pt idx="7">
                  <c:v>2018</c:v>
                </c:pt>
                <c:pt idx="8">
                  <c:v>2019</c:v>
                </c:pt>
                <c:pt idx="9">
                  <c:v>2020</c:v>
                </c:pt>
              </c:numCache>
            </c:numRef>
          </c:cat>
          <c:val>
            <c:numRef>
              <c:f>'4.7 Импорт услуг ИКТ'!$B$13:$K$13</c:f>
              <c:numCache>
                <c:formatCode>General</c:formatCode>
                <c:ptCount val="10"/>
                <c:pt idx="0">
                  <c:v>46.2</c:v>
                </c:pt>
                <c:pt idx="1">
                  <c:v>54.3</c:v>
                </c:pt>
                <c:pt idx="2">
                  <c:v>69.3</c:v>
                </c:pt>
                <c:pt idx="3">
                  <c:v>88.2</c:v>
                </c:pt>
                <c:pt idx="4">
                  <c:v>86.1</c:v>
                </c:pt>
                <c:pt idx="5">
                  <c:v>113.2</c:v>
                </c:pt>
                <c:pt idx="6">
                  <c:v>106</c:v>
                </c:pt>
                <c:pt idx="7">
                  <c:v>127</c:v>
                </c:pt>
                <c:pt idx="8">
                  <c:v>223.5</c:v>
                </c:pt>
                <c:pt idx="9">
                  <c:v>291.2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389D-4471-987D-7AC58F654D27}"/>
            </c:ext>
          </c:extLst>
        </c:ser>
        <c:ser>
          <c:idx val="2"/>
          <c:order val="2"/>
          <c:tx>
            <c:v>информационные услуги</c:v>
          </c:tx>
          <c:spPr>
            <a:solidFill>
              <a:srgbClr val="6B8E4E"/>
            </a:solidFill>
            <a:ln>
              <a:prstDash val="solid"/>
            </a:ln>
          </c:spPr>
          <c:invertIfNegative val="1"/>
          <c:dLbls>
            <c:spPr>
              <a:noFill/>
              <a:ln>
                <a:noFill/>
                <a:prstDash val="solid"/>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'4.7 Импорт услуг ИКТ'!$B$9:$K$9</c:f>
              <c:numCache>
                <c:formatCode>General</c:formatCode>
                <c:ptCount val="10"/>
                <c:pt idx="0">
                  <c:v>2011</c:v>
                </c:pt>
                <c:pt idx="1">
                  <c:v>2012</c:v>
                </c:pt>
                <c:pt idx="2">
                  <c:v>2013</c:v>
                </c:pt>
                <c:pt idx="3">
                  <c:v>2014</c:v>
                </c:pt>
                <c:pt idx="4">
                  <c:v>2015</c:v>
                </c:pt>
                <c:pt idx="5">
                  <c:v>2016</c:v>
                </c:pt>
                <c:pt idx="6">
                  <c:v>2017</c:v>
                </c:pt>
                <c:pt idx="7">
                  <c:v>2018</c:v>
                </c:pt>
                <c:pt idx="8">
                  <c:v>2019</c:v>
                </c:pt>
                <c:pt idx="9">
                  <c:v>2020</c:v>
                </c:pt>
              </c:numCache>
            </c:numRef>
          </c:cat>
          <c:val>
            <c:numRef>
              <c:f>'4.7 Импорт услуг ИКТ'!$B$14:$K$14</c:f>
              <c:numCache>
                <c:formatCode>General</c:formatCode>
                <c:ptCount val="10"/>
                <c:pt idx="0">
                  <c:v>6.2</c:v>
                </c:pt>
                <c:pt idx="1">
                  <c:v>8.6</c:v>
                </c:pt>
                <c:pt idx="2">
                  <c:v>10.7</c:v>
                </c:pt>
                <c:pt idx="3">
                  <c:v>10.8</c:v>
                </c:pt>
                <c:pt idx="4">
                  <c:v>6.9</c:v>
                </c:pt>
                <c:pt idx="5">
                  <c:v>7.8</c:v>
                </c:pt>
                <c:pt idx="6">
                  <c:v>8.1</c:v>
                </c:pt>
                <c:pt idx="7">
                  <c:v>8.1999999999999993</c:v>
                </c:pt>
                <c:pt idx="8">
                  <c:v>9.1999999999999993</c:v>
                </c:pt>
                <c:pt idx="9">
                  <c:v>9</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2-389D-4471-987D-7AC58F654D27}"/>
            </c:ext>
          </c:extLst>
        </c:ser>
        <c:dLbls>
          <c:showLegendKey val="0"/>
          <c:showVal val="0"/>
          <c:showCatName val="0"/>
          <c:showSerName val="0"/>
          <c:showPercent val="0"/>
          <c:showBubbleSize val="0"/>
        </c:dLbls>
        <c:gapWidth val="60"/>
        <c:overlap val="10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General" sourceLinked="1"/>
        <c:majorTickMark val="none"/>
        <c:minorTickMark val="none"/>
        <c:tickLblPos val="nextTo"/>
        <c:crossAx val="10"/>
        <c:crosses val="autoZero"/>
        <c:crossBetween val="between"/>
      </c:valAx>
    </c:plotArea>
    <c:legend>
      <c:legendPos val="r"/>
      <c:layout>
        <c:manualLayout>
          <c:xMode val="edge"/>
          <c:yMode val="edge"/>
          <c:x val="0.22244178240740739"/>
          <c:y val="0.9320874747846023"/>
          <c:w val="0.61145868055555552"/>
          <c:h val="4.7813545093927212E-2"/>
        </c:manualLayout>
      </c:layout>
      <c:overlay val="1"/>
    </c:legend>
    <c:plotVisOnly val="1"/>
    <c:dispBlanksAs val="gap"/>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a:defRPr/>
            </a:pPr>
            <a:r>
              <a:rPr lang="ru-RU"/>
              <a:t>Организации по целям использования сети Интернет в 2020 году, % (Республика Беларусь)</a:t>
            </a:r>
          </a:p>
        </c:rich>
      </c:tx>
      <c:overlay val="1"/>
    </c:title>
    <c:autoTitleDeleted val="0"/>
    <c:plotArea>
      <c:layout>
        <c:manualLayout>
          <c:layoutTarget val="inner"/>
          <c:xMode val="edge"/>
          <c:yMode val="edge"/>
          <c:x val="0.45839208333333331"/>
          <c:y val="6.1842931031594633E-2"/>
          <c:w val="0.50211888888888889"/>
          <c:h val="0.8761863616761596"/>
        </c:manualLayout>
      </c:layout>
      <c:barChart>
        <c:barDir val="bar"/>
        <c:grouping val="clustered"/>
        <c:varyColors val="1"/>
        <c:ser>
          <c:idx val="0"/>
          <c:order val="0"/>
          <c:tx>
            <c:v>Республика Беларусь, %</c:v>
          </c:tx>
          <c:spPr>
            <a:solidFill>
              <a:srgbClr val="2E5A88"/>
            </a:solidFill>
            <a:ln>
              <a:prstDash val="solid"/>
            </a:ln>
          </c:spPr>
          <c:invertIfNegative val="1"/>
          <c:dLbls>
            <c:spPr>
              <a:noFill/>
              <a:ln>
                <a:noFill/>
                <a:prstDash val="solid"/>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'4.9 Цели организаций 2020'!$A$3:$A$27</c:f>
              <c:strCache>
                <c:ptCount val="25"/>
                <c:pt idx="0">
                  <c:v>поиск информации</c:v>
                </c:pt>
                <c:pt idx="1">
                  <c:v>отправка и получение электронной почты</c:v>
                </c:pt>
                <c:pt idx="2">
                  <c:v>поиск персонала</c:v>
                </c:pt>
                <c:pt idx="3">
                  <c:v>профессиональная подготовка персонала</c:v>
                </c:pt>
                <c:pt idx="4">
                  <c:v>интернет-телефония, аудио- и видеоконференции</c:v>
                </c:pt>
                <c:pt idx="5">
                  <c:v>подписка на электронные базы данных, библиотеки</c:v>
                </c:pt>
                <c:pt idx="6">
                  <c:v>осуществление банковских операций</c:v>
                </c:pt>
                <c:pt idx="7">
                  <c:v>получение или оказание информационных услуг</c:v>
                </c:pt>
                <c:pt idx="8">
                  <c:v>диалог в режиме реального времени, объявления</c:v>
                </c:pt>
                <c:pt idx="9">
                  <c:v>доступ к другим финансовым услугам</c:v>
                </c:pt>
                <c:pt idx="10">
                  <c:v>общение в социальных медиа</c:v>
                </c:pt>
                <c:pt idx="11">
                  <c:v>получение сведений о товарах и их поставщиках</c:v>
                </c:pt>
                <c:pt idx="12">
                  <c:v>предоставление сведений о потребностях организации</c:v>
                </c:pt>
                <c:pt idx="13">
                  <c:v>размещение заказов на товары (работы, услуги)</c:v>
                </c:pt>
                <c:pt idx="14">
                  <c:v>оплата поставляемых товаров (работ, услуг)</c:v>
                </c:pt>
                <c:pt idx="15">
                  <c:v>получение электронной продукции</c:v>
                </c:pt>
                <c:pt idx="16">
                  <c:v>предоставление сведений об организации, ее товарах</c:v>
                </c:pt>
                <c:pt idx="17">
                  <c:v>получение заказов на выпускаемые товары (услуги)</c:v>
                </c:pt>
                <c:pt idx="18">
                  <c:v>электронные расчеты с потребителями</c:v>
                </c:pt>
                <c:pt idx="19">
                  <c:v>распространение электронной продукции</c:v>
                </c:pt>
                <c:pt idx="20">
                  <c:v>послепродажное обслуживание</c:v>
                </c:pt>
                <c:pt idx="21">
                  <c:v>получение информации о деятельности госорганов</c:v>
                </c:pt>
                <c:pt idx="22">
                  <c:v>предоставление статистической отчетности, деклараций</c:v>
                </c:pt>
                <c:pt idx="23">
                  <c:v>получение государственных услуг в электронном виде</c:v>
                </c:pt>
                <c:pt idx="24">
                  <c:v>участие в электронных аукционах на госзакупки</c:v>
                </c:pt>
              </c:strCache>
            </c:strRef>
          </c:cat>
          <c:val>
            <c:numRef>
              <c:f>'4.9 Цели организаций 2020'!$B$3:$B$27</c:f>
              <c:numCache>
                <c:formatCode>0.0</c:formatCode>
                <c:ptCount val="25"/>
                <c:pt idx="0">
                  <c:v>98.8</c:v>
                </c:pt>
                <c:pt idx="1">
                  <c:v>98.8</c:v>
                </c:pt>
                <c:pt idx="2">
                  <c:v>69.599999999999994</c:v>
                </c:pt>
                <c:pt idx="3">
                  <c:v>52.8</c:v>
                </c:pt>
                <c:pt idx="4">
                  <c:v>55.4</c:v>
                </c:pt>
                <c:pt idx="5">
                  <c:v>57.5</c:v>
                </c:pt>
                <c:pt idx="6">
                  <c:v>96.5</c:v>
                </c:pt>
                <c:pt idx="7">
                  <c:v>77</c:v>
                </c:pt>
                <c:pt idx="8">
                  <c:v>61.7</c:v>
                </c:pt>
                <c:pt idx="9">
                  <c:v>40.4</c:v>
                </c:pt>
                <c:pt idx="10">
                  <c:v>48.4</c:v>
                </c:pt>
                <c:pt idx="11">
                  <c:v>89.5</c:v>
                </c:pt>
                <c:pt idx="12">
                  <c:v>71.099999999999994</c:v>
                </c:pt>
                <c:pt idx="13">
                  <c:v>60.7</c:v>
                </c:pt>
                <c:pt idx="14">
                  <c:v>58.5</c:v>
                </c:pt>
                <c:pt idx="15">
                  <c:v>52.1</c:v>
                </c:pt>
                <c:pt idx="16">
                  <c:v>79.7</c:v>
                </c:pt>
                <c:pt idx="17">
                  <c:v>44.9</c:v>
                </c:pt>
                <c:pt idx="18">
                  <c:v>38.700000000000003</c:v>
                </c:pt>
                <c:pt idx="19">
                  <c:v>18.8</c:v>
                </c:pt>
                <c:pt idx="20">
                  <c:v>26.7</c:v>
                </c:pt>
                <c:pt idx="21">
                  <c:v>88.9</c:v>
                </c:pt>
                <c:pt idx="22">
                  <c:v>96</c:v>
                </c:pt>
                <c:pt idx="23">
                  <c:v>77.5</c:v>
                </c:pt>
                <c:pt idx="24">
                  <c:v>50.7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835B-4A84-8477-7EAE8E457F6B}"/>
            </c:ext>
          </c:extLst>
        </c:ser>
        <c:dLbls>
          <c:showLegendKey val="0"/>
          <c:showVal val="1"/>
          <c:showCatName val="0"/>
          <c:showSerName val="0"/>
          <c:showPercent val="0"/>
          <c:showBubbleSize val="0"/>
        </c:dLbls>
        <c:gapWidth val="6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majorGridlines/>
        <c:numFmt formatCode="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a:defRPr/>
            </a:pPr>
            <a:r>
              <a:rPr lang="ru-RU"/>
              <a:t>Динамика показателя «Число организаций − резидентов ПВТ, единиц»</a:t>
            </a:r>
          </a:p>
        </c:rich>
      </c:tx>
      <c:layout>
        <c:manualLayout>
          <c:xMode val="edge"/>
          <c:yMode val="edge"/>
          <c:x val="0.236301904588263"/>
          <c:y val="5.4520202020202017E-2"/>
        </c:manualLayout>
      </c:layout>
      <c:overlay val="1"/>
    </c:title>
    <c:autoTitleDeleted val="0"/>
    <c:plotArea>
      <c:layout/>
      <c:barChart>
        <c:barDir val="col"/>
        <c:grouping val="clustered"/>
        <c:varyColors val="1"/>
        <c:ser>
          <c:idx val="0"/>
          <c:order val="0"/>
          <c:tx>
            <c:v>Число резидентов, единиц</c:v>
          </c:tx>
          <c:spPr>
            <a:solidFill>
              <a:srgbClr val="2E5A88"/>
            </a:solidFill>
            <a:ln>
              <a:prstDash val="solid"/>
            </a:ln>
          </c:spPr>
          <c:invertIfNegative val="1"/>
          <c:dLbls>
            <c:spPr>
              <a:noFill/>
              <a:ln>
                <a:noFill/>
                <a:prstDash val="solid"/>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'5.1 Резиденты ПВТ'!$B$7:$K$7</c:f>
              <c:numCache>
                <c:formatCode>General</c:formatCode>
                <c:ptCount val="10"/>
                <c:pt idx="0">
                  <c:v>2011</c:v>
                </c:pt>
                <c:pt idx="1">
                  <c:v>2012</c:v>
                </c:pt>
                <c:pt idx="2">
                  <c:v>2013</c:v>
                </c:pt>
                <c:pt idx="3">
                  <c:v>2014</c:v>
                </c:pt>
                <c:pt idx="4">
                  <c:v>2015</c:v>
                </c:pt>
                <c:pt idx="5">
                  <c:v>2016</c:v>
                </c:pt>
                <c:pt idx="6">
                  <c:v>2017</c:v>
                </c:pt>
                <c:pt idx="7">
                  <c:v>2018</c:v>
                </c:pt>
                <c:pt idx="8">
                  <c:v>2019</c:v>
                </c:pt>
                <c:pt idx="9">
                  <c:v>2020</c:v>
                </c:pt>
              </c:numCache>
            </c:numRef>
          </c:cat>
          <c:val>
            <c:numRef>
              <c:f>'5.1 Резиденты ПВТ'!$B$8:$K$8</c:f>
              <c:numCache>
                <c:formatCode>General</c:formatCode>
                <c:ptCount val="10"/>
                <c:pt idx="0">
                  <c:v>102</c:v>
                </c:pt>
                <c:pt idx="1">
                  <c:v>113</c:v>
                </c:pt>
                <c:pt idx="2">
                  <c:v>128</c:v>
                </c:pt>
                <c:pt idx="3">
                  <c:v>136</c:v>
                </c:pt>
                <c:pt idx="4">
                  <c:v>147</c:v>
                </c:pt>
                <c:pt idx="5">
                  <c:v>161</c:v>
                </c:pt>
                <c:pt idx="6">
                  <c:v>191</c:v>
                </c:pt>
                <c:pt idx="7">
                  <c:v>454</c:v>
                </c:pt>
                <c:pt idx="8">
                  <c:v>751</c:v>
                </c:pt>
                <c:pt idx="9">
                  <c:v>962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D4EC-4A45-A732-25D180FD385E}"/>
            </c:ext>
          </c:extLst>
        </c:ser>
        <c:dLbls>
          <c:showLegendKey val="0"/>
          <c:showVal val="1"/>
          <c:showCatName val="0"/>
          <c:showSerName val="0"/>
          <c:showPercent val="0"/>
          <c:showBubbleSize val="0"/>
        </c:dLbls>
        <c:gapWidth val="6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a:defRPr/>
            </a:pPr>
            <a:r>
              <a:rPr lang="ru-RU"/>
              <a:t>Динамика показателей «Выручка» и «Чистая прибыль» организаций − резидентов ПВТ, млн руб.</a:t>
            </a:r>
          </a:p>
        </c:rich>
      </c:tx>
      <c:layout>
        <c:manualLayout>
          <c:xMode val="edge"/>
          <c:yMode val="edge"/>
          <c:x val="0.1098203703703704"/>
          <c:y val="6.0934343434343431E-2"/>
        </c:manualLayout>
      </c:layout>
      <c:overlay val="1"/>
    </c:title>
    <c:autoTitleDeleted val="0"/>
    <c:plotArea>
      <c:layout/>
      <c:lineChart>
        <c:grouping val="standard"/>
        <c:varyColors val="1"/>
        <c:ser>
          <c:idx val="0"/>
          <c:order val="0"/>
          <c:tx>
            <c:v>Выручка, млн руб.</c:v>
          </c:tx>
          <c:spPr>
            <a:ln w="22000">
              <a:prstDash val="solid"/>
            </a:ln>
          </c:spPr>
          <c:marker>
            <c:symbol val="none"/>
          </c:marker>
          <c:dLbls>
            <c:spPr>
              <a:solidFill>
                <a:sysClr val="window" lastClr="FFFFFF"/>
              </a:solidFill>
              <a:ln>
                <a:solidFill>
                  <a:schemeClr val="tx1"/>
                </a:solidFill>
                <a:prstDash val="solid"/>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'5.2 Финансы ПВТ'!$D$8:$H$8</c:f>
              <c:numCache>
                <c:formatCode>General</c:formatCode>
                <c:ptCount val="5"/>
                <c:pt idx="0">
                  <c:v>2016</c:v>
                </c:pt>
                <c:pt idx="1">
                  <c:v>2017</c:v>
                </c:pt>
                <c:pt idx="2">
                  <c:v>2018</c:v>
                </c:pt>
                <c:pt idx="3">
                  <c:v>2019</c:v>
                </c:pt>
                <c:pt idx="4">
                  <c:v>2020</c:v>
                </c:pt>
              </c:numCache>
            </c:numRef>
          </c:cat>
          <c:val>
            <c:numRef>
              <c:f>'5.2 Финансы ПВТ'!$D$9:$H$9</c:f>
              <c:numCache>
                <c:formatCode>#\ ##0.0</c:formatCode>
                <c:ptCount val="5"/>
                <c:pt idx="0">
                  <c:v>1794.3</c:v>
                </c:pt>
                <c:pt idx="1">
                  <c:v>2140.5</c:v>
                </c:pt>
                <c:pt idx="2">
                  <c:v>3398.1</c:v>
                </c:pt>
                <c:pt idx="3">
                  <c:v>5331.6</c:v>
                </c:pt>
                <c:pt idx="4">
                  <c:v>7437.4</c:v>
                </c:pt>
              </c:numCache>
            </c:numRef>
          </c:val>
          <c:smooth val="0"/>
          <c:extLst>
            <c:ext xmlns:c16="http://schemas.microsoft.com/office/drawing/2014/chart" uri="{C3380CC4-5D6E-409C-BE32-E72D297353CC}">
              <c16:uniqueId val="{00000000-10A1-4E96-865A-1BF9C7221895}"/>
            </c:ext>
          </c:extLst>
        </c:ser>
        <c:ser>
          <c:idx val="1"/>
          <c:order val="1"/>
          <c:tx>
            <c:v>Чистая прибыль, млн руб.</c:v>
          </c:tx>
          <c:spPr>
            <a:ln w="22000">
              <a:prstDash val="solid"/>
            </a:ln>
          </c:spPr>
          <c:marker>
            <c:symbol val="none"/>
          </c:marker>
          <c:dLbls>
            <c:spPr>
              <a:solidFill>
                <a:sysClr val="window" lastClr="FFFFFF"/>
              </a:solidFill>
              <a:ln>
                <a:solidFill>
                  <a:schemeClr val="tx1"/>
                </a:solidFill>
                <a:prstDash val="solid"/>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'5.2 Финансы ПВТ'!$D$8:$H$8</c:f>
              <c:numCache>
                <c:formatCode>General</c:formatCode>
                <c:ptCount val="5"/>
                <c:pt idx="0">
                  <c:v>2016</c:v>
                </c:pt>
                <c:pt idx="1">
                  <c:v>2017</c:v>
                </c:pt>
                <c:pt idx="2">
                  <c:v>2018</c:v>
                </c:pt>
                <c:pt idx="3">
                  <c:v>2019</c:v>
                </c:pt>
                <c:pt idx="4">
                  <c:v>2020</c:v>
                </c:pt>
              </c:numCache>
            </c:numRef>
          </c:cat>
          <c:val>
            <c:numRef>
              <c:f>'5.2 Финансы ПВТ'!$D$13:$H$13</c:f>
              <c:numCache>
                <c:formatCode>#\ ##0.0</c:formatCode>
                <c:ptCount val="5"/>
                <c:pt idx="0">
                  <c:v>338</c:v>
                </c:pt>
                <c:pt idx="1">
                  <c:v>436.3</c:v>
                </c:pt>
                <c:pt idx="2">
                  <c:v>723.9</c:v>
                </c:pt>
                <c:pt idx="3">
                  <c:v>1016.2</c:v>
                </c:pt>
                <c:pt idx="4">
                  <c:v>1665.1</c:v>
                </c:pt>
              </c:numCache>
            </c:numRef>
          </c:val>
          <c:smooth val="0"/>
          <c:extLst>
            <c:ext xmlns:c16="http://schemas.microsoft.com/office/drawing/2014/chart" uri="{C3380CC4-5D6E-409C-BE32-E72D297353CC}">
              <c16:uniqueId val="{00000001-10A1-4E96-865A-1BF9C7221895}"/>
            </c:ext>
          </c:extLst>
        </c:ser>
        <c:dLbls>
          <c:showLegendKey val="0"/>
          <c:showVal val="1"/>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 ##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a:defRPr/>
            </a:pPr>
            <a:r>
              <a:rPr lang="ru-RU"/>
              <a:t>Структура затрат резидентов ПВТ на цифровые технологии в 2020 году, млн руб.</a:t>
            </a:r>
          </a:p>
        </c:rich>
      </c:tx>
      <c:overlay val="1"/>
    </c:title>
    <c:autoTitleDeleted val="0"/>
    <c:plotArea>
      <c:layout>
        <c:manualLayout>
          <c:layoutTarget val="inner"/>
          <c:xMode val="edge"/>
          <c:yMode val="edge"/>
          <c:x val="0.42987832166140522"/>
          <c:y val="7.9510703363914373E-2"/>
          <c:w val="0.5357323076550915"/>
          <c:h val="0.84387873534156843"/>
        </c:manualLayout>
      </c:layout>
      <c:barChart>
        <c:barDir val="bar"/>
        <c:grouping val="clustered"/>
        <c:varyColors val="1"/>
        <c:ser>
          <c:idx val="0"/>
          <c:order val="0"/>
          <c:tx>
            <c:v>Затраты, млн руб.</c:v>
          </c:tx>
          <c:spPr>
            <a:solidFill>
              <a:srgbClr val="2E5A88"/>
            </a:solidFill>
            <a:ln>
              <a:prstDash val="solid"/>
            </a:ln>
          </c:spPr>
          <c:invertIfNegative val="1"/>
          <c:dLbls>
            <c:spPr>
              <a:noFill/>
              <a:ln>
                <a:noFill/>
                <a:prstDash val="solid"/>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'5.6 Затраты ПВТ 2020'!$A$9:$A$15</c:f>
              <c:strCache>
                <c:ptCount val="7"/>
                <c:pt idx="0">
                  <c:v>Всего</c:v>
                </c:pt>
                <c:pt idx="1">
                  <c:v>приобретение машин и оборудования (включая ТО и ремонт)</c:v>
                </c:pt>
                <c:pt idx="2">
                  <c:v>из них вычислительная техника и оргтехника</c:v>
                </c:pt>
                <c:pt idx="3">
                  <c:v>приобретение программного обеспечения</c:v>
                </c:pt>
                <c:pt idx="4">
                  <c:v>оплата телекоммуникационных услуг</c:v>
                </c:pt>
                <c:pt idx="5">
                  <c:v>обучение работников</c:v>
                </c:pt>
                <c:pt idx="6">
                  <c:v>услуги сторонних организаций и специалистов</c:v>
                </c:pt>
              </c:strCache>
            </c:strRef>
          </c:cat>
          <c:val>
            <c:numRef>
              <c:f>'5.6 Затраты ПВТ 2020'!$B$9:$B$15</c:f>
              <c:numCache>
                <c:formatCode>0.0</c:formatCode>
                <c:ptCount val="7"/>
                <c:pt idx="0">
                  <c:v>463.9</c:v>
                </c:pt>
                <c:pt idx="1">
                  <c:v>95.2</c:v>
                </c:pt>
                <c:pt idx="2">
                  <c:v>87.2</c:v>
                </c:pt>
                <c:pt idx="3">
                  <c:v>46.8</c:v>
                </c:pt>
                <c:pt idx="4">
                  <c:v>13.2</c:v>
                </c:pt>
                <c:pt idx="5">
                  <c:v>1.8</c:v>
                </c:pt>
                <c:pt idx="6">
                  <c:v>137.9</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54C3-4A6C-BC3B-8DDEDF457A4F}"/>
            </c:ext>
          </c:extLst>
        </c:ser>
        <c:dLbls>
          <c:dLblPos val="outEnd"/>
          <c:showLegendKey val="0"/>
          <c:showVal val="1"/>
          <c:showCatName val="0"/>
          <c:showSerName val="0"/>
          <c:showPercent val="0"/>
          <c:showBubbleSize val="0"/>
        </c:dLbls>
        <c:gapWidth val="6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majorGridlines/>
        <c:numFmt formatCode="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a:defRPr/>
            </a:pPr>
            <a:r>
              <a:rPr lang="ru-RU"/>
              <a:t>Динамика показателя «Отгружено продукции организациями − резидентами ПВТ, млн руб.»</a:t>
            </a:r>
          </a:p>
        </c:rich>
      </c:tx>
      <c:layout>
        <c:manualLayout>
          <c:xMode val="edge"/>
          <c:yMode val="edge"/>
          <c:x val="0.11854807038009139"/>
          <c:y val="3.2070707070707069E-2"/>
        </c:manualLayout>
      </c:layout>
      <c:overlay val="1"/>
    </c:title>
    <c:autoTitleDeleted val="0"/>
    <c:plotArea>
      <c:layout/>
      <c:barChart>
        <c:barDir val="col"/>
        <c:grouping val="clustered"/>
        <c:varyColors val="1"/>
        <c:ser>
          <c:idx val="0"/>
          <c:order val="0"/>
          <c:tx>
            <c:v>Отгружено продукции, млн руб.</c:v>
          </c:tx>
          <c:spPr>
            <a:solidFill>
              <a:srgbClr val="2E5A88"/>
            </a:solidFill>
            <a:ln>
              <a:prstDash val="solid"/>
            </a:ln>
          </c:spPr>
          <c:invertIfNegative val="1"/>
          <c:dLbls>
            <c:spPr>
              <a:noFill/>
              <a:ln>
                <a:noFill/>
                <a:prstDash val="solid"/>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'5.7 Отгружено продукции ПВТ'!$B$3:$J$3</c:f>
              <c:numCache>
                <c:formatCode>General</c:formatCode>
                <c:ptCount val="9"/>
                <c:pt idx="0">
                  <c:v>2011</c:v>
                </c:pt>
                <c:pt idx="1">
                  <c:v>2012</c:v>
                </c:pt>
                <c:pt idx="2">
                  <c:v>2013</c:v>
                </c:pt>
                <c:pt idx="3">
                  <c:v>2014</c:v>
                </c:pt>
                <c:pt idx="4">
                  <c:v>2015</c:v>
                </c:pt>
                <c:pt idx="5">
                  <c:v>2016</c:v>
                </c:pt>
                <c:pt idx="6">
                  <c:v>2017</c:v>
                </c:pt>
                <c:pt idx="7">
                  <c:v>2018</c:v>
                </c:pt>
                <c:pt idx="8">
                  <c:v>2020</c:v>
                </c:pt>
              </c:numCache>
            </c:numRef>
          </c:cat>
          <c:val>
            <c:numRef>
              <c:f>'5.7 Отгружено продукции ПВТ'!$B$4:$J$4</c:f>
              <c:numCache>
                <c:formatCode>#,##0.00</c:formatCode>
                <c:ptCount val="9"/>
                <c:pt idx="0">
                  <c:v>140.62</c:v>
                </c:pt>
                <c:pt idx="1">
                  <c:v>308.58999999999997</c:v>
                </c:pt>
                <c:pt idx="2">
                  <c:v>463.01</c:v>
                </c:pt>
                <c:pt idx="3">
                  <c:v>692.11</c:v>
                </c:pt>
                <c:pt idx="4">
                  <c:v>1260.67</c:v>
                </c:pt>
                <c:pt idx="5">
                  <c:v>1786.2</c:v>
                </c:pt>
                <c:pt idx="6" formatCode="General">
                  <c:v>0</c:v>
                </c:pt>
                <c:pt idx="7">
                  <c:v>3320.9</c:v>
                </c:pt>
                <c:pt idx="8">
                  <c:v>7035.6</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9A0F-4161-B0B6-0900675D33F1}"/>
            </c:ext>
          </c:extLst>
        </c:ser>
        <c:dLbls>
          <c:showLegendKey val="0"/>
          <c:showVal val="1"/>
          <c:showCatName val="0"/>
          <c:showSerName val="0"/>
          <c:showPercent val="0"/>
          <c:showBubbleSize val="0"/>
        </c:dLbls>
        <c:gapWidth val="6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0.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a:defRPr/>
            </a:pPr>
            <a:r>
              <a:rPr lang="ru-RU"/>
              <a:t>Интернет-пользователи по целям выхода в сеть Интернет в 2020 году, %</a:t>
            </a:r>
          </a:p>
        </c:rich>
      </c:tx>
      <c:layout>
        <c:manualLayout>
          <c:xMode val="edge"/>
          <c:yMode val="edge"/>
          <c:x val="0.22987805555555552"/>
          <c:y val="2.4321461526913103E-2"/>
        </c:manualLayout>
      </c:layout>
      <c:overlay val="1"/>
    </c:title>
    <c:autoTitleDeleted val="0"/>
    <c:plotArea>
      <c:layout>
        <c:manualLayout>
          <c:layoutTarget val="inner"/>
          <c:xMode val="edge"/>
          <c:yMode val="edge"/>
          <c:x val="0.19899458333333334"/>
          <c:y val="8.5196825949801186E-2"/>
          <c:w val="0.76151638888888884"/>
          <c:h val="0.841205885543859"/>
        </c:manualLayout>
      </c:layout>
      <c:barChart>
        <c:barDir val="bar"/>
        <c:grouping val="clustered"/>
        <c:varyColors val="1"/>
        <c:ser>
          <c:idx val="0"/>
          <c:order val="0"/>
          <c:tx>
            <c:v>Интернет-пользователи, %</c:v>
          </c:tx>
          <c:spPr>
            <a:solidFill>
              <a:srgbClr val="2E5A88"/>
            </a:solidFill>
            <a:ln>
              <a:prstDash val="solid"/>
            </a:ln>
          </c:spPr>
          <c:invertIfNegative val="1"/>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'5.8 Цели населения 2020'!$B$5:$K$5</c:f>
              <c:strCache>
                <c:ptCount val="10"/>
                <c:pt idx="0">
                  <c:v>поиск информации</c:v>
                </c:pt>
                <c:pt idx="1">
                  <c:v>фильмы, музыка</c:v>
                </c:pt>
                <c:pt idx="2">
                  <c:v>социальные сети</c:v>
                </c:pt>
                <c:pt idx="3">
                  <c:v>чтение прессы</c:v>
                </c:pt>
                <c:pt idx="4">
                  <c:v>эл. почта, переговоры</c:v>
                </c:pt>
                <c:pt idx="5">
                  <c:v>компьютерные игры</c:v>
                </c:pt>
                <c:pt idx="6">
                  <c:v>финансовые операции</c:v>
                </c:pt>
                <c:pt idx="7">
                  <c:v>покупка товаров</c:v>
                </c:pt>
                <c:pt idx="8">
                  <c:v>гос. организации</c:v>
                </c:pt>
                <c:pt idx="9">
                  <c:v>образование</c:v>
                </c:pt>
              </c:strCache>
            </c:strRef>
          </c:cat>
          <c:val>
            <c:numRef>
              <c:f>'5.8 Цели населения 2020'!$B$6:$K$6</c:f>
              <c:numCache>
                <c:formatCode>0.0</c:formatCode>
                <c:ptCount val="10"/>
                <c:pt idx="0">
                  <c:v>92.6</c:v>
                </c:pt>
                <c:pt idx="1">
                  <c:v>86.1</c:v>
                </c:pt>
                <c:pt idx="2">
                  <c:v>83.6</c:v>
                </c:pt>
                <c:pt idx="3">
                  <c:v>63.1</c:v>
                </c:pt>
                <c:pt idx="4">
                  <c:v>62.6</c:v>
                </c:pt>
                <c:pt idx="5">
                  <c:v>49.8</c:v>
                </c:pt>
                <c:pt idx="6">
                  <c:v>49.7</c:v>
                </c:pt>
                <c:pt idx="7">
                  <c:v>40.5</c:v>
                </c:pt>
                <c:pt idx="8">
                  <c:v>27.8</c:v>
                </c:pt>
                <c:pt idx="9">
                  <c:v>21.3</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1DD9-4930-886F-963CB341A923}"/>
            </c:ext>
          </c:extLst>
        </c:ser>
        <c:dLbls>
          <c:showLegendKey val="0"/>
          <c:showVal val="1"/>
          <c:showCatName val="0"/>
          <c:showSerName val="0"/>
          <c:showPercent val="0"/>
          <c:showBubbleSize val="0"/>
        </c:dLbls>
        <c:gapWidth val="6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majorGridlines/>
        <c:numFmt formatCode="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a:defRPr/>
            </a:pPr>
            <a:r>
              <a:rPr lang="ru-RU"/>
              <a:t>Динамика показателя «Количество абонентов всех видов передачи данных, тысяч»</a:t>
            </a:r>
          </a:p>
        </c:rich>
      </c:tx>
      <c:layout>
        <c:manualLayout>
          <c:xMode val="edge"/>
          <c:yMode val="edge"/>
          <c:x val="0.22315882377663521"/>
          <c:y val="4.0454068477953214E-2"/>
        </c:manualLayout>
      </c:layout>
      <c:overlay val="1"/>
    </c:title>
    <c:autoTitleDeleted val="0"/>
    <c:plotArea>
      <c:layout/>
      <c:lineChart>
        <c:grouping val="standard"/>
        <c:varyColors val="1"/>
        <c:ser>
          <c:idx val="0"/>
          <c:order val="0"/>
          <c:tx>
            <c:v>Абоненты всех видов передачи данных, тысяч</c:v>
          </c:tx>
          <c:spPr>
            <a:ln w="22000">
              <a:prstDash val="solid"/>
            </a:ln>
          </c:spPr>
          <c:marker>
            <c:symbol val="none"/>
          </c:marker>
          <c:dLbls>
            <c:delete val="1"/>
          </c:dLbls>
          <c:cat>
            <c:numRef>
              <c:f>'6.1 Сеть передачи данных'!$B$2:$O$2</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'6.1 Сеть передачи данных'!$B$3:$O$3</c:f>
              <c:numCache>
                <c:formatCode>#,##0.00</c:formatCode>
                <c:ptCount val="14"/>
                <c:pt idx="0">
                  <c:v>7528.3</c:v>
                </c:pt>
                <c:pt idx="1">
                  <c:v>9218.2999999999993</c:v>
                </c:pt>
                <c:pt idx="2">
                  <c:v>10320.299999999999</c:v>
                </c:pt>
                <c:pt idx="3">
                  <c:v>10526.8</c:v>
                </c:pt>
                <c:pt idx="4">
                  <c:v>11149.3</c:v>
                </c:pt>
                <c:pt idx="5">
                  <c:v>12109</c:v>
                </c:pt>
                <c:pt idx="6">
                  <c:v>12773.9</c:v>
                </c:pt>
                <c:pt idx="7">
                  <c:v>13573.1</c:v>
                </c:pt>
                <c:pt idx="8">
                  <c:v>13710.4</c:v>
                </c:pt>
                <c:pt idx="9">
                  <c:v>13943.8</c:v>
                </c:pt>
                <c:pt idx="10">
                  <c:v>14023.9</c:v>
                </c:pt>
                <c:pt idx="11">
                  <c:v>14073.5</c:v>
                </c:pt>
                <c:pt idx="12">
                  <c:v>14256</c:v>
                </c:pt>
                <c:pt idx="13">
                  <c:v>14525.9</c:v>
                </c:pt>
              </c:numCache>
            </c:numRef>
          </c:val>
          <c:smooth val="0"/>
          <c:extLst>
            <c:ext xmlns:c16="http://schemas.microsoft.com/office/drawing/2014/chart" uri="{C3380CC4-5D6E-409C-BE32-E72D297353CC}">
              <c16:uniqueId val="{00000000-B58D-4612-84A0-0AE4228F59FD}"/>
            </c:ext>
          </c:extLst>
        </c:ser>
        <c:dLbls>
          <c:showLegendKey val="0"/>
          <c:showVal val="1"/>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0.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a:defRPr/>
            </a:pPr>
            <a:r>
              <a:rPr lang="ru-RU"/>
              <a:t>Динамика показателя «Количество абонентов сети Интернет (на 100 человек населения)»</a:t>
            </a:r>
          </a:p>
        </c:rich>
      </c:tx>
      <c:overlay val="1"/>
    </c:title>
    <c:autoTitleDeleted val="0"/>
    <c:plotArea>
      <c:layout/>
      <c:barChart>
        <c:barDir val="col"/>
        <c:grouping val="clustered"/>
        <c:varyColors val="1"/>
        <c:ser>
          <c:idx val="0"/>
          <c:order val="0"/>
          <c:tx>
            <c:v>Абоненты сети Интернет, на 100 чел.</c:v>
          </c:tx>
          <c:spPr>
            <a:solidFill>
              <a:srgbClr val="2E5A88"/>
            </a:solidFill>
            <a:ln>
              <a:prstDash val="solid"/>
            </a:ln>
          </c:spPr>
          <c:invertIfNegative val="1"/>
          <c:dLbls>
            <c:spPr>
              <a:noFill/>
              <a:ln>
                <a:noFill/>
                <a:prstDash val="solid"/>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'6.3 Доступ физлиц к Интернет'!$B$5:$O$5</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'6.3 Доступ физлиц к Интернет'!$B$6:$O$6</c:f>
              <c:numCache>
                <c:formatCode>General</c:formatCode>
                <c:ptCount val="14"/>
                <c:pt idx="0">
                  <c:v>64</c:v>
                </c:pt>
                <c:pt idx="1">
                  <c:v>79</c:v>
                </c:pt>
                <c:pt idx="2">
                  <c:v>89</c:v>
                </c:pt>
                <c:pt idx="3">
                  <c:v>91</c:v>
                </c:pt>
                <c:pt idx="4">
                  <c:v>96</c:v>
                </c:pt>
                <c:pt idx="5">
                  <c:v>103</c:v>
                </c:pt>
                <c:pt idx="6">
                  <c:v>111</c:v>
                </c:pt>
                <c:pt idx="7">
                  <c:v>120</c:v>
                </c:pt>
                <c:pt idx="8">
                  <c:v>121</c:v>
                </c:pt>
                <c:pt idx="9">
                  <c:v>122</c:v>
                </c:pt>
                <c:pt idx="10">
                  <c:v>126</c:v>
                </c:pt>
                <c:pt idx="11">
                  <c:v>128</c:v>
                </c:pt>
                <c:pt idx="12">
                  <c:v>130</c:v>
                </c:pt>
                <c:pt idx="13">
                  <c:v>133</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3856-4212-8F07-7B1D8DD5145D}"/>
            </c:ext>
          </c:extLst>
        </c:ser>
        <c:dLbls>
          <c:showLegendKey val="0"/>
          <c:showVal val="1"/>
          <c:showCatName val="0"/>
          <c:showSerName val="0"/>
          <c:showPercent val="0"/>
          <c:showBubbleSize val="0"/>
        </c:dLbls>
        <c:gapWidth val="6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a:defRPr/>
            </a:pPr>
            <a:r>
              <a:rPr lang="ru-RU"/>
              <a:t>Удельный вес работников, использовавших персональные компьютеры, по областям и г. Минску, 2014 и 2020 гг., %</a:t>
            </a:r>
          </a:p>
        </c:rich>
      </c:tx>
      <c:layout>
        <c:manualLayout>
          <c:xMode val="edge"/>
          <c:yMode val="edge"/>
          <c:x val="0.19181180555555555"/>
          <c:y val="0.01"/>
        </c:manualLayout>
      </c:layout>
      <c:overlay val="1"/>
    </c:title>
    <c:autoTitleDeleted val="0"/>
    <c:plotArea>
      <c:layout>
        <c:manualLayout>
          <c:layoutTarget val="inner"/>
          <c:xMode val="edge"/>
          <c:yMode val="edge"/>
          <c:x val="4.5546296296296293E-2"/>
          <c:y val="0.105"/>
          <c:w val="0.93828472222222226"/>
          <c:h val="0.75"/>
        </c:manualLayout>
      </c:layout>
      <c:barChart>
        <c:barDir val="col"/>
        <c:grouping val="clustered"/>
        <c:varyColors val="1"/>
        <c:ser>
          <c:idx val="0"/>
          <c:order val="0"/>
          <c:tx>
            <c:v>ПК, 2014</c:v>
          </c:tx>
          <c:spPr>
            <a:solidFill>
              <a:srgbClr val="2E5A88"/>
            </a:solidFill>
            <a:ln>
              <a:prstDash val="solid"/>
            </a:ln>
          </c:spPr>
          <c:invertIfNegative val="1"/>
          <c:dLbls>
            <c:numFmt formatCode="0.0" sourceLinked="0"/>
            <c:spPr>
              <a:solidFill>
                <a:sysClr val="window" lastClr="FFFFFF"/>
              </a:solidFill>
              <a:ln>
                <a:solidFill>
                  <a:schemeClr val="tx1"/>
                </a:solidFill>
                <a:prstDash val="solid"/>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'7.1 Работники, использ. ПК'!$A$7:$A$13</c:f>
              <c:strCache>
                <c:ptCount val="7"/>
                <c:pt idx="0">
                  <c:v>Брестская / Brest</c:v>
                </c:pt>
                <c:pt idx="1">
                  <c:v>Витебская / Vitebsk </c:v>
                </c:pt>
                <c:pt idx="2">
                  <c:v>Гомельская / Gomel </c:v>
                </c:pt>
                <c:pt idx="3">
                  <c:v>Гродненская / Grodno </c:v>
                </c:pt>
                <c:pt idx="4">
                  <c:v>г. Минск / Minsk city</c:v>
                </c:pt>
                <c:pt idx="5">
                  <c:v>Минская / Minsk </c:v>
                </c:pt>
                <c:pt idx="6">
                  <c:v>Могилевская / Mogilev </c:v>
                </c:pt>
              </c:strCache>
            </c:strRef>
          </c:cat>
          <c:val>
            <c:numRef>
              <c:f>'7.1 Работники, использ. ПК'!$B$7:$B$13</c:f>
              <c:numCache>
                <c:formatCode>0.00</c:formatCode>
                <c:ptCount val="7"/>
                <c:pt idx="0">
                  <c:v>19.399999999999999</c:v>
                </c:pt>
                <c:pt idx="1">
                  <c:v>18.899999999999999</c:v>
                </c:pt>
                <c:pt idx="2">
                  <c:v>21.1</c:v>
                </c:pt>
                <c:pt idx="3">
                  <c:v>18.8</c:v>
                </c:pt>
                <c:pt idx="4">
                  <c:v>43.4</c:v>
                </c:pt>
                <c:pt idx="5">
                  <c:v>18.100000000000001</c:v>
                </c:pt>
                <c:pt idx="6">
                  <c:v>17.899999999999999</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5A03-4EC5-908C-C0A5F3BBD001}"/>
            </c:ext>
          </c:extLst>
        </c:ser>
        <c:ser>
          <c:idx val="1"/>
          <c:order val="1"/>
          <c:tx>
            <c:v>ПК, 2020</c:v>
          </c:tx>
          <c:spPr>
            <a:solidFill>
              <a:srgbClr val="C0504D"/>
            </a:solidFill>
            <a:ln>
              <a:prstDash val="solid"/>
            </a:ln>
          </c:spPr>
          <c:invertIfNegative val="1"/>
          <c:dLbls>
            <c:numFmt formatCode="0.0" sourceLinked="0"/>
            <c:spPr>
              <a:solidFill>
                <a:sysClr val="window" lastClr="FFFFFF"/>
              </a:solidFill>
              <a:ln>
                <a:solidFill>
                  <a:schemeClr val="tx1"/>
                </a:solidFill>
                <a:prstDash val="solid"/>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'7.1 Работники, использ. ПК'!$A$7:$A$13</c:f>
              <c:strCache>
                <c:ptCount val="7"/>
                <c:pt idx="0">
                  <c:v>Брестская / Brest</c:v>
                </c:pt>
                <c:pt idx="1">
                  <c:v>Витебская / Vitebsk </c:v>
                </c:pt>
                <c:pt idx="2">
                  <c:v>Гомельская / Gomel </c:v>
                </c:pt>
                <c:pt idx="3">
                  <c:v>Гродненская / Grodno </c:v>
                </c:pt>
                <c:pt idx="4">
                  <c:v>г. Минск / Minsk city</c:v>
                </c:pt>
                <c:pt idx="5">
                  <c:v>Минская / Minsk </c:v>
                </c:pt>
                <c:pt idx="6">
                  <c:v>Могилевская / Mogilev </c:v>
                </c:pt>
              </c:strCache>
            </c:strRef>
          </c:cat>
          <c:val>
            <c:numRef>
              <c:f>'7.1 Работники, использ. ПК'!$C$7:$C$13</c:f>
              <c:numCache>
                <c:formatCode>General</c:formatCode>
                <c:ptCount val="7"/>
                <c:pt idx="0">
                  <c:v>26.3</c:v>
                </c:pt>
                <c:pt idx="1">
                  <c:v>26.2</c:v>
                </c:pt>
                <c:pt idx="2">
                  <c:v>28.9</c:v>
                </c:pt>
                <c:pt idx="3">
                  <c:v>26.6</c:v>
                </c:pt>
                <c:pt idx="4">
                  <c:v>56</c:v>
                </c:pt>
                <c:pt idx="5">
                  <c:v>26.7</c:v>
                </c:pt>
                <c:pt idx="6">
                  <c:v>25.3</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5A03-4EC5-908C-C0A5F3BBD002}"/>
            </c:ext>
          </c:extLst>
        </c:ser>
        <c:ser>
          <c:idx val="2"/>
          <c:order val="2"/>
          <c:tx>
            <c:v>ПК с Интернетом, 2014</c:v>
          </c:tx>
          <c:spPr>
            <a:solidFill>
              <a:srgbClr val="6B8E4E"/>
            </a:solidFill>
            <a:ln>
              <a:prstDash val="solid"/>
            </a:ln>
          </c:spPr>
          <c:invertIfNegative val="1"/>
          <c:dLbls>
            <c:numFmt formatCode="0.0" sourceLinked="0"/>
            <c:spPr>
              <a:solidFill>
                <a:sysClr val="window" lastClr="FFFFFF"/>
              </a:solidFill>
              <a:ln>
                <a:solidFill>
                  <a:schemeClr val="tx1"/>
                </a:solidFill>
                <a:prstDash val="solid"/>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'7.1 Работники, использ. ПК'!$A$7:$A$13</c:f>
              <c:strCache>
                <c:ptCount val="7"/>
                <c:pt idx="0">
                  <c:v>Брестская / Brest</c:v>
                </c:pt>
                <c:pt idx="1">
                  <c:v>Витебская / Vitebsk </c:v>
                </c:pt>
                <c:pt idx="2">
                  <c:v>Гомельская / Gomel </c:v>
                </c:pt>
                <c:pt idx="3">
                  <c:v>Гродненская / Grodno </c:v>
                </c:pt>
                <c:pt idx="4">
                  <c:v>г. Минск / Minsk city</c:v>
                </c:pt>
                <c:pt idx="5">
                  <c:v>Минская / Minsk </c:v>
                </c:pt>
                <c:pt idx="6">
                  <c:v>Могилевская / Mogilev </c:v>
                </c:pt>
              </c:strCache>
            </c:strRef>
          </c:cat>
          <c:val>
            <c:numRef>
              <c:f>'7.1 Работники, использ. ПК'!$D$7:$D$13</c:f>
              <c:numCache>
                <c:formatCode>General</c:formatCode>
                <c:ptCount val="7"/>
                <c:pt idx="0">
                  <c:v>58.2</c:v>
                </c:pt>
                <c:pt idx="1">
                  <c:v>59.1</c:v>
                </c:pt>
                <c:pt idx="2">
                  <c:v>51.4</c:v>
                </c:pt>
                <c:pt idx="3">
                  <c:v>56.2</c:v>
                </c:pt>
                <c:pt idx="4">
                  <c:v>59.5</c:v>
                </c:pt>
                <c:pt idx="5">
                  <c:v>63.4</c:v>
                </c:pt>
                <c:pt idx="6">
                  <c:v>53.8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2-5A03-4EC5-908C-C0A5F3BBD003}"/>
            </c:ext>
          </c:extLst>
        </c:ser>
        <c:ser>
          <c:idx val="3"/>
          <c:order val="3"/>
          <c:tx>
            <c:v>ПК с Интернетом, 2020</c:v>
          </c:tx>
          <c:spPr>
            <a:solidFill>
              <a:srgbClr val="B7791F"/>
            </a:solidFill>
            <a:ln>
              <a:prstDash val="solid"/>
            </a:ln>
          </c:spPr>
          <c:invertIfNegative val="1"/>
          <c:dLbls>
            <c:numFmt formatCode="0.0" sourceLinked="0"/>
            <c:spPr>
              <a:solidFill>
                <a:sysClr val="window" lastClr="FFFFFF"/>
              </a:solidFill>
              <a:ln>
                <a:solidFill>
                  <a:schemeClr val="tx1"/>
                </a:solidFill>
                <a:prstDash val="solid"/>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'7.1 Работники, использ. ПК'!$A$7:$A$13</c:f>
              <c:strCache>
                <c:ptCount val="7"/>
                <c:pt idx="0">
                  <c:v>Брестская / Brest</c:v>
                </c:pt>
                <c:pt idx="1">
                  <c:v>Витебская / Vitebsk </c:v>
                </c:pt>
                <c:pt idx="2">
                  <c:v>Гомельская / Gomel </c:v>
                </c:pt>
                <c:pt idx="3">
                  <c:v>Гродненская / Grodno </c:v>
                </c:pt>
                <c:pt idx="4">
                  <c:v>г. Минск / Minsk city</c:v>
                </c:pt>
                <c:pt idx="5">
                  <c:v>Минская / Minsk </c:v>
                </c:pt>
                <c:pt idx="6">
                  <c:v>Могилевская / Mogilev </c:v>
                </c:pt>
              </c:strCache>
            </c:strRef>
          </c:cat>
          <c:val>
            <c:numRef>
              <c:f>'7.1 Работники, использ. ПК'!$E$7:$E$13</c:f>
              <c:numCache>
                <c:formatCode>General</c:formatCode>
                <c:ptCount val="7"/>
                <c:pt idx="0">
                  <c:v>73.400000000000006</c:v>
                </c:pt>
                <c:pt idx="1">
                  <c:v>77.099999999999994</c:v>
                </c:pt>
                <c:pt idx="2">
                  <c:v>65.7</c:v>
                </c:pt>
                <c:pt idx="3">
                  <c:v>73.2</c:v>
                </c:pt>
                <c:pt idx="4">
                  <c:v>73.8</c:v>
                </c:pt>
                <c:pt idx="5">
                  <c:v>78.2</c:v>
                </c:pt>
                <c:pt idx="6">
                  <c:v>74.599999999999994</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3-5A03-4EC5-908C-C0A5F3BBD004}"/>
            </c:ext>
          </c:extLst>
        </c:ser>
        <c:dLbls>
          <c:showLegendKey val="0"/>
          <c:showVal val="1"/>
          <c:showCatName val="0"/>
          <c:showSerName val="0"/>
          <c:showPercent val="0"/>
          <c:showBubbleSize val="0"/>
        </c:dLbls>
        <c:gapWidth val="6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0.00" sourceLinked="1"/>
        <c:majorTickMark val="none"/>
        <c:minorTickMark val="none"/>
        <c:tickLblPos val="nextTo"/>
        <c:crossAx val="10"/>
        <c:crosses val="autoZero"/>
        <c:crossBetween val="between"/>
      </c:valAx>
    </c:plotArea>
    <c:legend>
      <c:legendPos val="r"/>
      <c:layout>
        <c:manualLayout>
          <c:xMode val="edge"/>
          <c:yMode val="edge"/>
          <c:x val="0.1"/>
          <c:y val="0.92500000000000004"/>
          <c:w val="0.8"/>
          <c:h val="6.3134457186140316E-2"/>
        </c:manualLayout>
      </c:layout>
      <c:overlay val="1"/>
    </c:legend>
    <c:plotVisOnly val="1"/>
    <c:dispBlanksAs val="gap"/>
    <c:showDLblsOverMax val="1"/>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a:defRPr/>
            </a:pPr>
            <a:r>
              <a:rPr lang="ru-RU"/>
              <a:t>Использование ИКТ в организациях, в процентах к общему числу обследованных организаций</a:t>
            </a:r>
          </a:p>
        </c:rich>
      </c:tx>
      <c:layout>
        <c:manualLayout>
          <c:xMode val="edge"/>
          <c:yMode val="edge"/>
          <c:x val="0.19181180555555555"/>
          <c:y val="5.4520202020202017E-2"/>
        </c:manualLayout>
      </c:layout>
      <c:overlay val="1"/>
    </c:title>
    <c:autoTitleDeleted val="0"/>
    <c:plotArea>
      <c:layout>
        <c:manualLayout>
          <c:layoutTarget val="inner"/>
          <c:xMode val="edge"/>
          <c:yMode val="edge"/>
          <c:x val="4.5546296296296293E-2"/>
          <c:y val="3.4380727754094967E-2"/>
          <c:w val="0.93828472222222226"/>
          <c:h val="0.82301296232584042"/>
        </c:manualLayout>
      </c:layout>
      <c:barChart>
        <c:barDir val="col"/>
        <c:grouping val="clustered"/>
        <c:varyColors val="1"/>
        <c:ser>
          <c:idx val="0"/>
          <c:order val="0"/>
          <c:tx>
            <c:v>Интернет</c:v>
          </c:tx>
          <c:spPr>
            <a:solidFill>
              <a:srgbClr val="2E5A88"/>
            </a:solidFill>
            <a:ln>
              <a:prstDash val="solid"/>
            </a:ln>
          </c:spPr>
          <c:invertIfNegative val="1"/>
          <c:dLbls>
            <c:spPr>
              <a:noFill/>
              <a:ln>
                <a:noFill/>
                <a:prstDash val="solid"/>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'7.2 Использование ИКТ орг'!$B$5:$K$5</c:f>
              <c:numCache>
                <c:formatCode>General</c:formatCode>
                <c:ptCount val="10"/>
                <c:pt idx="0">
                  <c:v>2011</c:v>
                </c:pt>
                <c:pt idx="1">
                  <c:v>2012</c:v>
                </c:pt>
                <c:pt idx="2">
                  <c:v>2013</c:v>
                </c:pt>
                <c:pt idx="3">
                  <c:v>2014</c:v>
                </c:pt>
                <c:pt idx="4">
                  <c:v>2015</c:v>
                </c:pt>
                <c:pt idx="5">
                  <c:v>2016</c:v>
                </c:pt>
                <c:pt idx="6">
                  <c:v>2018</c:v>
                </c:pt>
                <c:pt idx="7">
                  <c:v>2020</c:v>
                </c:pt>
                <c:pt idx="8">
                  <c:v>2022</c:v>
                </c:pt>
                <c:pt idx="9">
                  <c:v>2024</c:v>
                </c:pt>
              </c:numCache>
            </c:numRef>
          </c:cat>
          <c:val>
            <c:numRef>
              <c:f>'7.2 Использование ИКТ орг'!$B$7:$K$7</c:f>
              <c:numCache>
                <c:formatCode>General</c:formatCode>
                <c:ptCount val="10"/>
                <c:pt idx="0">
                  <c:v>94.6</c:v>
                </c:pt>
                <c:pt idx="1">
                  <c:v>96.8</c:v>
                </c:pt>
                <c:pt idx="2">
                  <c:v>97.5</c:v>
                </c:pt>
                <c:pt idx="3">
                  <c:v>97.3</c:v>
                </c:pt>
                <c:pt idx="4">
                  <c:v>97.2</c:v>
                </c:pt>
                <c:pt idx="5">
                  <c:v>97.4</c:v>
                </c:pt>
                <c:pt idx="6">
                  <c:v>96.8</c:v>
                </c:pt>
                <c:pt idx="7">
                  <c:v>98.7</c:v>
                </c:pt>
                <c:pt idx="8">
                  <c:v>98.8</c:v>
                </c:pt>
                <c:pt idx="9">
                  <c:v>99.3</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5253-4FB5-86F3-650399EBCDBC}"/>
            </c:ext>
          </c:extLst>
        </c:ser>
        <c:ser>
          <c:idx val="1"/>
          <c:order val="1"/>
          <c:tx>
            <c:v>веб-сайт</c:v>
          </c:tx>
          <c:spPr>
            <a:solidFill>
              <a:srgbClr val="C0504D"/>
            </a:solidFill>
            <a:ln>
              <a:prstDash val="solid"/>
            </a:ln>
          </c:spPr>
          <c:invertIfNegative val="1"/>
          <c:dLbls>
            <c:spPr>
              <a:noFill/>
              <a:ln>
                <a:noFill/>
                <a:prstDash val="solid"/>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'7.2 Использование ИКТ орг'!$B$5:$K$5</c:f>
              <c:numCache>
                <c:formatCode>General</c:formatCode>
                <c:ptCount val="10"/>
                <c:pt idx="0">
                  <c:v>2011</c:v>
                </c:pt>
                <c:pt idx="1">
                  <c:v>2012</c:v>
                </c:pt>
                <c:pt idx="2">
                  <c:v>2013</c:v>
                </c:pt>
                <c:pt idx="3">
                  <c:v>2014</c:v>
                </c:pt>
                <c:pt idx="4">
                  <c:v>2015</c:v>
                </c:pt>
                <c:pt idx="5">
                  <c:v>2016</c:v>
                </c:pt>
                <c:pt idx="6">
                  <c:v>2018</c:v>
                </c:pt>
                <c:pt idx="7">
                  <c:v>2020</c:v>
                </c:pt>
                <c:pt idx="8">
                  <c:v>2022</c:v>
                </c:pt>
                <c:pt idx="9">
                  <c:v>2024</c:v>
                </c:pt>
              </c:numCache>
            </c:numRef>
          </c:cat>
          <c:val>
            <c:numRef>
              <c:f>'7.2 Использование ИКТ орг'!$B$10:$K$10</c:f>
              <c:numCache>
                <c:formatCode>General</c:formatCode>
                <c:ptCount val="10"/>
                <c:pt idx="0">
                  <c:v>50.2</c:v>
                </c:pt>
                <c:pt idx="1">
                  <c:v>51.2</c:v>
                </c:pt>
                <c:pt idx="2">
                  <c:v>57</c:v>
                </c:pt>
                <c:pt idx="3">
                  <c:v>62.2</c:v>
                </c:pt>
                <c:pt idx="4">
                  <c:v>59.7</c:v>
                </c:pt>
                <c:pt idx="5">
                  <c:v>62.2</c:v>
                </c:pt>
                <c:pt idx="6">
                  <c:v>67.2</c:v>
                </c:pt>
                <c:pt idx="7">
                  <c:v>70.400000000000006</c:v>
                </c:pt>
                <c:pt idx="8">
                  <c:v>71.599999999999994</c:v>
                </c:pt>
                <c:pt idx="9">
                  <c:v>71</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5253-4FB5-86F3-650399EBCDBC}"/>
            </c:ext>
          </c:extLst>
        </c:ser>
        <c:dLbls>
          <c:showLegendKey val="0"/>
          <c:showVal val="1"/>
          <c:showCatName val="0"/>
          <c:showSerName val="0"/>
          <c:showPercent val="0"/>
          <c:showBubbleSize val="0"/>
        </c:dLbls>
        <c:gapWidth val="6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General" sourceLinked="1"/>
        <c:majorTickMark val="none"/>
        <c:minorTickMark val="none"/>
        <c:tickLblPos val="nextTo"/>
        <c:crossAx val="10"/>
        <c:crosses val="autoZero"/>
        <c:crossBetween val="between"/>
      </c:valAx>
    </c:plotArea>
    <c:legend>
      <c:legendPos val="r"/>
      <c:layout>
        <c:manualLayout>
          <c:xMode val="edge"/>
          <c:yMode val="edge"/>
          <c:x val="0.37082893518518523"/>
          <c:y val="0.93017885283623547"/>
          <c:w val="0.28374282407407414"/>
          <c:h val="5.9350047656864718E-2"/>
        </c:manualLayout>
      </c:layout>
      <c:overlay val="1"/>
    </c:legend>
    <c:plotVisOnly val="1"/>
    <c:dispBlanksAs val="gap"/>
    <c:showDLblsOverMax val="1"/>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a:defRPr/>
            </a:pPr>
            <a:r>
              <a:rPr lang="ru-RU"/>
              <a:t>Использование ИКТ по видам деятельности в 2020 году, %</a:t>
            </a:r>
          </a:p>
        </c:rich>
      </c:tx>
      <c:layout>
        <c:manualLayout>
          <c:xMode val="edge"/>
          <c:yMode val="edge"/>
          <c:x val="0.30425292024751349"/>
          <c:y val="1.4950600608502269E-2"/>
        </c:manualLayout>
      </c:layout>
      <c:overlay val="1"/>
    </c:title>
    <c:autoTitleDeleted val="0"/>
    <c:plotArea>
      <c:layout>
        <c:manualLayout>
          <c:layoutTarget val="inner"/>
          <c:xMode val="edge"/>
          <c:yMode val="edge"/>
          <c:x val="0.3"/>
          <c:y val="7.4999999999999997E-2"/>
          <c:w val="0.67"/>
          <c:h val="0.84"/>
        </c:manualLayout>
      </c:layout>
      <c:barChart>
        <c:barDir val="bar"/>
        <c:grouping val="clustered"/>
        <c:varyColors val="1"/>
        <c:ser>
          <c:idx val="0"/>
          <c:order val="0"/>
          <c:tx>
            <c:v>Локальные вычислительные сети</c:v>
          </c:tx>
          <c:spPr>
            <a:solidFill>
              <a:srgbClr val="2E5A88"/>
            </a:solidFill>
            <a:ln>
              <a:prstDash val="solid"/>
            </a:ln>
          </c:spPr>
          <c:invertIfNegative val="1"/>
          <c:dLbls>
            <c:spPr>
              <a:noFill/>
              <a:ln>
                <a:noFill/>
                <a:prstDash val="solid"/>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'7.3 ИКТ по видам деят-ти 2020'!$A$6:$A$25</c:f>
              <c:strCache>
                <c:ptCount val="20"/>
                <c:pt idx="0">
                  <c:v>сельское, лесное и рыбное хозяйство / agriculture, forestry and fishery</c:v>
                </c:pt>
                <c:pt idx="1">
                  <c:v>горнодобывающая промышленность / mining and quarrying</c:v>
                </c:pt>
                <c:pt idx="2">
                  <c:v>обрабатывающая промышленность / manufacturing </c:v>
                </c:pt>
                <c:pt idx="3">
                  <c:v>снабжение электроэнергией, газом, паром, горячей водой и кондиционированным воздухом / electricity, gas, steam, hot water and conditioned air supply</c:v>
                </c:pt>
                <c:pt idx="4">
                  <c:v>водоснабжение; сбор, обработка и удаление отходов, деятельность  по ликвидации загрязнений / water supply; waste collection, treatment and disposal, pollution control activities </c:v>
                </c:pt>
                <c:pt idx="5">
                  <c:v>строительство / construction </c:v>
                </c:pt>
                <c:pt idx="6">
                  <c:v>оптовая и розничная торговля; ремонт автомобилей и мотоциклов / wholesale and retail trade, repair of motor vehicles and motorcycles</c:v>
                </c:pt>
                <c:pt idx="7">
                  <c:v>транспортная деятельность, складирование, почтовая и курьерская деятельность / transport activities, warehousing, postal and courier activities</c:v>
                </c:pt>
                <c:pt idx="8">
                  <c:v>услуги по временному проживанию и питанию / temporary accommodation and meal services </c:v>
                </c:pt>
                <c:pt idx="9">
                  <c:v>информация и связь / information  and communication </c:v>
                </c:pt>
                <c:pt idx="10">
                  <c:v>финансовая и страховая деятельность / financial and insurance activities </c:v>
                </c:pt>
                <c:pt idx="11">
                  <c:v>операции с недвижимым имуществом / real estate</c:v>
                </c:pt>
                <c:pt idx="12">
                  <c:v>профессиональная, научная и техническая деятельность / professional, scientific and technical activity</c:v>
                </c:pt>
                <c:pt idx="13">
                  <c:v>образование / education</c:v>
                </c:pt>
                <c:pt idx="14">
                  <c:v>высшее образование / higher education</c:v>
                </c:pt>
                <c:pt idx="15">
                  <c:v>деятельность в сфере административных  и вспомогательных услуг / administrative and support service activities</c:v>
                </c:pt>
                <c:pt idx="16">
                  <c:v>здравоохранение / healthcare</c:v>
                </c:pt>
                <c:pt idx="17">
                  <c:v>творчество, спорт, развлечения и отдых
творчество, спорт, развлечения</c:v>
                </c:pt>
                <c:pt idx="18">
                  <c:v>ремонт компьютеров, предметов личного пользования и бытовых изделий / repair of computers, personal items and household goods</c:v>
                </c:pt>
                <c:pt idx="19">
                  <c:v>предоставление прочих  индивидуальных услуг / other individual service</c:v>
                </c:pt>
              </c:strCache>
            </c:strRef>
          </c:cat>
          <c:val>
            <c:numRef>
              <c:f>'7.3 ИКТ по видам деят-ти 2020'!$B$6:$B$25</c:f>
              <c:numCache>
                <c:formatCode>General</c:formatCode>
                <c:ptCount val="20"/>
                <c:pt idx="0">
                  <c:v>77.3</c:v>
                </c:pt>
                <c:pt idx="1">
                  <c:v>100</c:v>
                </c:pt>
                <c:pt idx="2">
                  <c:v>94</c:v>
                </c:pt>
                <c:pt idx="3">
                  <c:v>98.6</c:v>
                </c:pt>
                <c:pt idx="4">
                  <c:v>100</c:v>
                </c:pt>
                <c:pt idx="5">
                  <c:v>94.1</c:v>
                </c:pt>
                <c:pt idx="6">
                  <c:v>77.2</c:v>
                </c:pt>
                <c:pt idx="7">
                  <c:v>97.1</c:v>
                </c:pt>
                <c:pt idx="8">
                  <c:v>93</c:v>
                </c:pt>
                <c:pt idx="9">
                  <c:v>65</c:v>
                </c:pt>
                <c:pt idx="10">
                  <c:v>100</c:v>
                </c:pt>
                <c:pt idx="11">
                  <c:v>100</c:v>
                </c:pt>
                <c:pt idx="12">
                  <c:v>94.2</c:v>
                </c:pt>
                <c:pt idx="13">
                  <c:v>95.2</c:v>
                </c:pt>
                <c:pt idx="14">
                  <c:v>96.8</c:v>
                </c:pt>
                <c:pt idx="15">
                  <c:v>89.5</c:v>
                </c:pt>
                <c:pt idx="16">
                  <c:v>94.4</c:v>
                </c:pt>
                <c:pt idx="17">
                  <c:v>100</c:v>
                </c:pt>
                <c:pt idx="18">
                  <c:v>54</c:v>
                </c:pt>
                <c:pt idx="19">
                  <c:v>91.7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5A03-4EC5-908C-C0A5F3BBE001}"/>
            </c:ext>
          </c:extLst>
        </c:ser>
        <c:ser>
          <c:idx val="1"/>
          <c:order val="1"/>
          <c:tx>
            <c:v>Веб-сайт</c:v>
          </c:tx>
          <c:spPr>
            <a:solidFill>
              <a:srgbClr val="C0504D"/>
            </a:solidFill>
            <a:ln>
              <a:prstDash val="solid"/>
            </a:ln>
          </c:spPr>
          <c:invertIfNegative val="1"/>
          <c:dLbls>
            <c:spPr>
              <a:noFill/>
              <a:ln>
                <a:noFill/>
                <a:prstDash val="solid"/>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'7.3 ИКТ по видам деят-ти 2020'!$A$6:$A$25</c:f>
              <c:strCache>
                <c:ptCount val="20"/>
                <c:pt idx="0">
                  <c:v>сельское, лесное и рыбное хозяйство / agriculture, forestry and fishery</c:v>
                </c:pt>
                <c:pt idx="1">
                  <c:v>горнодобывающая промышленность / mining and quarrying</c:v>
                </c:pt>
                <c:pt idx="2">
                  <c:v>обрабатывающая промышленность / manufacturing </c:v>
                </c:pt>
                <c:pt idx="3">
                  <c:v>снабжение электроэнергией, газом, паром, горячей водой и кондиционированным воздухом / electricity, gas, steam, hot water and conditioned air supply</c:v>
                </c:pt>
                <c:pt idx="4">
                  <c:v>водоснабжение; сбор, обработка и удаление отходов, деятельность  по ликвидации загрязнений / water supply; waste collection, treatment and disposal, pollution control activities </c:v>
                </c:pt>
                <c:pt idx="5">
                  <c:v>строительство / construction </c:v>
                </c:pt>
                <c:pt idx="6">
                  <c:v>оптовая и розничная торговля; ремонт автомобилей и мотоциклов / wholesale and retail trade, repair of motor vehicles and motorcycles</c:v>
                </c:pt>
                <c:pt idx="7">
                  <c:v>транспортная деятельность, складирование, почтовая и курьерская деятельность / transport activities, warehousing, postal and courier activities</c:v>
                </c:pt>
                <c:pt idx="8">
                  <c:v>услуги по временному проживанию и питанию / temporary accommodation and meal services </c:v>
                </c:pt>
                <c:pt idx="9">
                  <c:v>информация и связь / information  and communication </c:v>
                </c:pt>
                <c:pt idx="10">
                  <c:v>финансовая и страховая деятельность / financial and insurance activities </c:v>
                </c:pt>
                <c:pt idx="11">
                  <c:v>операции с недвижимым имуществом / real estate</c:v>
                </c:pt>
                <c:pt idx="12">
                  <c:v>профессиональная, научная и техническая деятельность / professional, scientific and technical activity</c:v>
                </c:pt>
                <c:pt idx="13">
                  <c:v>образование / education</c:v>
                </c:pt>
                <c:pt idx="14">
                  <c:v>высшее образование / higher education</c:v>
                </c:pt>
                <c:pt idx="15">
                  <c:v>деятельность в сфере административных  и вспомогательных услуг / administrative and support service activities</c:v>
                </c:pt>
                <c:pt idx="16">
                  <c:v>здравоохранение / healthcare</c:v>
                </c:pt>
                <c:pt idx="17">
                  <c:v>творчество, спорт, развлечения и отдых
творчество, спорт, развлечения</c:v>
                </c:pt>
                <c:pt idx="18">
                  <c:v>ремонт компьютеров, предметов личного пользования и бытовых изделий / repair of computers, personal items and household goods</c:v>
                </c:pt>
                <c:pt idx="19">
                  <c:v>предоставление прочих  индивидуальных услуг / other individual service</c:v>
                </c:pt>
              </c:strCache>
            </c:strRef>
          </c:cat>
          <c:val>
            <c:numRef>
              <c:f>'7.3 ИКТ по видам деят-ти 2020'!$E$6:$E$25</c:f>
              <c:numCache>
                <c:formatCode>General</c:formatCode>
                <c:ptCount val="20"/>
                <c:pt idx="0">
                  <c:v>38.299999999999997</c:v>
                </c:pt>
                <c:pt idx="1">
                  <c:v>83.3</c:v>
                </c:pt>
                <c:pt idx="2">
                  <c:v>89.6</c:v>
                </c:pt>
                <c:pt idx="3">
                  <c:v>82.4</c:v>
                </c:pt>
                <c:pt idx="4">
                  <c:v>88.5</c:v>
                </c:pt>
                <c:pt idx="5">
                  <c:v>70.3</c:v>
                </c:pt>
                <c:pt idx="6">
                  <c:v>69.599999999999994</c:v>
                </c:pt>
                <c:pt idx="7">
                  <c:v>82.5</c:v>
                </c:pt>
                <c:pt idx="8">
                  <c:v>81.7</c:v>
                </c:pt>
                <c:pt idx="9">
                  <c:v>66.7</c:v>
                </c:pt>
                <c:pt idx="10">
                  <c:v>100</c:v>
                </c:pt>
                <c:pt idx="11">
                  <c:v>86.4</c:v>
                </c:pt>
                <c:pt idx="12">
                  <c:v>93.7</c:v>
                </c:pt>
                <c:pt idx="13">
                  <c:v>93.7</c:v>
                </c:pt>
                <c:pt idx="14">
                  <c:v>95.2</c:v>
                </c:pt>
                <c:pt idx="15">
                  <c:v>70.5</c:v>
                </c:pt>
                <c:pt idx="16">
                  <c:v>93.2</c:v>
                </c:pt>
                <c:pt idx="17">
                  <c:v>95.1</c:v>
                </c:pt>
                <c:pt idx="18">
                  <c:v>50.9</c:v>
                </c:pt>
                <c:pt idx="19">
                  <c:v>87.5</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5A03-4EC5-908C-C0A5F3BBE002}"/>
            </c:ext>
          </c:extLst>
        </c:ser>
        <c:dLbls>
          <c:showLegendKey val="0"/>
          <c:showVal val="1"/>
          <c:showCatName val="0"/>
          <c:showSerName val="0"/>
          <c:showPercent val="0"/>
          <c:showBubbleSize val="0"/>
        </c:dLbls>
        <c:gapWidth val="6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majorGridlines/>
        <c:numFmt formatCode="General" sourceLinked="1"/>
        <c:majorTickMark val="none"/>
        <c:minorTickMark val="none"/>
        <c:tickLblPos val="nextTo"/>
        <c:crossAx val="10"/>
        <c:crosses val="autoZero"/>
        <c:crossBetween val="between"/>
      </c:valAx>
    </c:plotArea>
    <c:legend>
      <c:legendPos val="r"/>
      <c:layout>
        <c:manualLayout>
          <c:xMode val="edge"/>
          <c:yMode val="edge"/>
          <c:x val="0.01"/>
          <c:y val="0.94"/>
          <c:w val="0.98"/>
          <c:h val="5.5E-2"/>
        </c:manualLayout>
      </c:layout>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hyperlink" Target="#&#1057;&#1086;&#1076;&#1077;&#1088;&#1078;&#1072;&#1085;&#1080;&#1077;!A1"/><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hyperlink" Target="#&#1057;&#1086;&#1076;&#1077;&#1088;&#1078;&#1072;&#1085;&#1080;&#1077;!A1"/><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hyperlink" Target="#&#1057;&#1086;&#1076;&#1077;&#1088;&#1078;&#1072;&#1085;&#1080;&#1077;!A1"/><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hyperlink" Target="#&#1057;&#1086;&#1076;&#1077;&#1088;&#1078;&#1072;&#1085;&#1080;&#1077;!A1"/><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hyperlink" Target="#&#1057;&#1086;&#1076;&#1077;&#1088;&#1078;&#1072;&#1085;&#1080;&#1077;!A1"/><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2" Type="http://schemas.openxmlformats.org/officeDocument/2006/relationships/hyperlink" Target="#&#1057;&#1086;&#1076;&#1077;&#1088;&#1078;&#1072;&#1085;&#1080;&#1077;!A1"/><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hyperlink" Target="#&#1057;&#1086;&#1076;&#1077;&#1088;&#1078;&#1072;&#1085;&#1080;&#1077;!A1"/><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2" Type="http://schemas.openxmlformats.org/officeDocument/2006/relationships/hyperlink" Target="#&#1057;&#1086;&#1076;&#1077;&#1088;&#1078;&#1072;&#1085;&#1080;&#1077;!A1"/><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2" Type="http://schemas.openxmlformats.org/officeDocument/2006/relationships/hyperlink" Target="#&#1057;&#1086;&#1076;&#1077;&#1088;&#1078;&#1072;&#1085;&#1080;&#1077;!A1"/><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3" Type="http://schemas.openxmlformats.org/officeDocument/2006/relationships/hyperlink" Target="#&#1057;&#1086;&#1076;&#1077;&#1088;&#1078;&#1072;&#1085;&#1080;&#1077;!A1"/><Relationship Id="rId2" Type="http://schemas.openxmlformats.org/officeDocument/2006/relationships/chart" Target="../charts/chart12.xml"/><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2" Type="http://schemas.openxmlformats.org/officeDocument/2006/relationships/hyperlink" Target="#&#1057;&#1086;&#1076;&#1077;&#1088;&#1078;&#1072;&#1085;&#1080;&#1077;!A1"/><Relationship Id="rId1" Type="http://schemas.openxmlformats.org/officeDocument/2006/relationships/chart" Target="../charts/chart13.xml"/></Relationships>
</file>

<file path=xl/drawings/_rels/drawing12.xml.rels><?xml version="1.0" encoding="UTF-8" standalone="yes"?>
<Relationships xmlns="http://schemas.openxmlformats.org/package/2006/relationships"><Relationship Id="rId2" Type="http://schemas.openxmlformats.org/officeDocument/2006/relationships/hyperlink" Target="#&#1057;&#1086;&#1076;&#1077;&#1088;&#1078;&#1072;&#1085;&#1080;&#1077;!A1"/><Relationship Id="rId1" Type="http://schemas.openxmlformats.org/officeDocument/2006/relationships/chart" Target="../charts/chart14.xml"/></Relationships>
</file>

<file path=xl/drawings/_rels/drawing13.xml.rels><?xml version="1.0" encoding="UTF-8" standalone="yes"?>
<Relationships xmlns="http://schemas.openxmlformats.org/package/2006/relationships"><Relationship Id="rId2" Type="http://schemas.openxmlformats.org/officeDocument/2006/relationships/hyperlink" Target="#&#1057;&#1086;&#1076;&#1077;&#1088;&#1078;&#1072;&#1085;&#1080;&#1077;!A1"/><Relationship Id="rId1" Type="http://schemas.openxmlformats.org/officeDocument/2006/relationships/chart" Target="../charts/chart15.xml"/></Relationships>
</file>

<file path=xl/drawings/_rels/drawing14.xml.rels><?xml version="1.0" encoding="UTF-8" standalone="yes"?>
<Relationships xmlns="http://schemas.openxmlformats.org/package/2006/relationships"><Relationship Id="rId2" Type="http://schemas.openxmlformats.org/officeDocument/2006/relationships/hyperlink" Target="#&#1057;&#1086;&#1076;&#1077;&#1088;&#1078;&#1072;&#1085;&#1080;&#1077;!A1"/><Relationship Id="rId1" Type="http://schemas.openxmlformats.org/officeDocument/2006/relationships/chart" Target="../charts/chart16.xml"/></Relationships>
</file>

<file path=xl/drawings/_rels/drawing15.xml.rels><?xml version="1.0" encoding="UTF-8" standalone="yes"?>
<Relationships xmlns="http://schemas.openxmlformats.org/package/2006/relationships"><Relationship Id="rId2" Type="http://schemas.openxmlformats.org/officeDocument/2006/relationships/hyperlink" Target="#&#1057;&#1086;&#1076;&#1077;&#1088;&#1078;&#1072;&#1085;&#1080;&#1077;!A1"/><Relationship Id="rId1" Type="http://schemas.openxmlformats.org/officeDocument/2006/relationships/chart" Target="../charts/chart17.xml"/></Relationships>
</file>

<file path=xl/drawings/_rels/drawing16.xml.rels><?xml version="1.0" encoding="UTF-8" standalone="yes"?>
<Relationships xmlns="http://schemas.openxmlformats.org/package/2006/relationships"><Relationship Id="rId2" Type="http://schemas.openxmlformats.org/officeDocument/2006/relationships/hyperlink" Target="#&#1057;&#1086;&#1076;&#1077;&#1088;&#1078;&#1072;&#1085;&#1080;&#1077;!A1"/><Relationship Id="rId1" Type="http://schemas.openxmlformats.org/officeDocument/2006/relationships/chart" Target="../charts/chart18.xml"/></Relationships>
</file>

<file path=xl/drawings/_rels/drawing17.xml.rels><?xml version="1.0" encoding="UTF-8" standalone="yes"?>
<Relationships xmlns="http://schemas.openxmlformats.org/package/2006/relationships"><Relationship Id="rId2" Type="http://schemas.openxmlformats.org/officeDocument/2006/relationships/hyperlink" Target="#&#1057;&#1086;&#1076;&#1077;&#1088;&#1078;&#1072;&#1085;&#1080;&#1077;!A1"/><Relationship Id="rId1" Type="http://schemas.openxmlformats.org/officeDocument/2006/relationships/chart" Target="../charts/chart19.xml"/></Relationships>
</file>

<file path=xl/drawings/_rels/drawing18.xml.rels><?xml version="1.0" encoding="UTF-8" standalone="yes"?>
<Relationships xmlns="http://schemas.openxmlformats.org/package/2006/relationships"><Relationship Id="rId2" Type="http://schemas.openxmlformats.org/officeDocument/2006/relationships/hyperlink" Target="#&#1057;&#1086;&#1076;&#1077;&#1088;&#1078;&#1072;&#1085;&#1080;&#1077;!A1"/><Relationship Id="rId1" Type="http://schemas.openxmlformats.org/officeDocument/2006/relationships/chart" Target="../charts/chart20.xml"/></Relationships>
</file>

<file path=xl/drawings/_rels/drawing19.xml.rels><?xml version="1.0" encoding="UTF-8" standalone="yes"?>
<Relationships xmlns="http://schemas.openxmlformats.org/package/2006/relationships"><Relationship Id="rId2" Type="http://schemas.openxmlformats.org/officeDocument/2006/relationships/hyperlink" Target="#&#1057;&#1086;&#1076;&#1077;&#1088;&#1078;&#1072;&#1085;&#1080;&#1077;!A1"/><Relationship Id="rId1" Type="http://schemas.openxmlformats.org/officeDocument/2006/relationships/chart" Target="../charts/chart21.xml"/></Relationships>
</file>

<file path=xl/drawings/_rels/drawing20.xml.rels><?xml version="1.0" encoding="UTF-8" standalone="yes"?>
<Relationships xmlns="http://schemas.openxmlformats.org/package/2006/relationships"><Relationship Id="rId2" Type="http://schemas.openxmlformats.org/officeDocument/2006/relationships/hyperlink" Target="#&#1057;&#1086;&#1076;&#1077;&#1088;&#1078;&#1072;&#1085;&#1080;&#1077;!A1"/><Relationship Id="rId1" Type="http://schemas.openxmlformats.org/officeDocument/2006/relationships/chart" Target="../charts/chart22.xml"/></Relationships>
</file>

<file path=xl/drawings/_rels/drawing21.xml.rels><?xml version="1.0" encoding="UTF-8" standalone="yes"?>
<Relationships xmlns="http://schemas.openxmlformats.org/package/2006/relationships"><Relationship Id="rId2" Type="http://schemas.openxmlformats.org/officeDocument/2006/relationships/hyperlink" Target="#&#1057;&#1086;&#1076;&#1077;&#1088;&#1078;&#1072;&#1085;&#1080;&#1077;!A1"/><Relationship Id="rId1" Type="http://schemas.openxmlformats.org/officeDocument/2006/relationships/chart" Target="../charts/chart23.xml"/></Relationships>
</file>

<file path=xl/drawings/_rels/drawing22.xml.rels><?xml version="1.0" encoding="UTF-8" standalone="yes"?>
<Relationships xmlns="http://schemas.openxmlformats.org/package/2006/relationships"><Relationship Id="rId1" Type="http://schemas.openxmlformats.org/officeDocument/2006/relationships/hyperlink" Target="#&#1057;&#1086;&#1076;&#1077;&#1088;&#1078;&#1072;&#1085;&#1080;&#1077;!A1"/></Relationships>
</file>

<file path=xl/drawings/drawing1.xml><?xml version="1.0" encoding="utf-8"?>
<xdr:wsDr xmlns:xdr="http://schemas.openxmlformats.org/drawingml/2006/spreadsheetDrawing" xmlns:a="http://schemas.openxmlformats.org/drawingml/2006/main">
  <xdr:oneCellAnchor>
    <xdr:from>
      <xdr:col>16</xdr:col>
      <xdr:colOff>14007</xdr:colOff>
      <xdr:row>20</xdr:row>
      <xdr:rowOff>98052</xdr:rowOff>
    </xdr:from>
    <xdr:ext cx="7920000" cy="396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16</xdr:col>
      <xdr:colOff>98051</xdr:colOff>
      <xdr:row>33</xdr:row>
      <xdr:rowOff>56029</xdr:rowOff>
    </xdr:from>
    <xdr:ext cx="7920000" cy="39600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4</xdr:col>
      <xdr:colOff>151609</xdr:colOff>
      <xdr:row>0</xdr:row>
      <xdr:rowOff>114300</xdr:rowOff>
    </xdr:from>
    <xdr:ext cx="3362325" cy="352425"/>
    <xdr:sp macro="" textlink="">
      <xdr:nvSpPr>
        <xdr:cNvPr id="100" name="Прямоугольник: скругленные углы 100">
          <a:hlinkClick xmlns:r="http://schemas.openxmlformats.org/officeDocument/2006/relationships" r:id="rId3"/>
          <a:extLst>
            <a:ext uri="{FF2B5EF4-FFF2-40B4-BE49-F238E27FC236}">
              <a16:creationId xmlns:a16="http://schemas.microsoft.com/office/drawing/2014/main" id="{00000000-0008-0000-0100-000064000000}"/>
            </a:ext>
          </a:extLst>
        </xdr:cNvPr>
        <xdr:cNvSpPr/>
      </xdr:nvSpPr>
      <xdr:spPr>
        <a:xfrm>
          <a:off x="3733800" y="114300"/>
          <a:ext cx="3362325" cy="352425"/>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ru-RU" sz="1800"/>
            <a:t> </a:t>
          </a:r>
          <a:r>
            <a:rPr lang="ru-RU" sz="1800" baseline="0"/>
            <a:t>Перейти к содержанию</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5</xdr:col>
      <xdr:colOff>304800</xdr:colOff>
      <xdr:row>32</xdr:row>
      <xdr:rowOff>133349</xdr:rowOff>
    </xdr:from>
    <xdr:ext cx="7867650" cy="4695825"/>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103980</xdr:colOff>
      <xdr:row>0</xdr:row>
      <xdr:rowOff>114300</xdr:rowOff>
    </xdr:from>
    <xdr:ext cx="3362325" cy="352425"/>
    <xdr:sp macro="" textlink="">
      <xdr:nvSpPr>
        <xdr:cNvPr id="101" name="Прямоугольник: скругленные углы 101">
          <a:hlinkClick xmlns:r="http://schemas.openxmlformats.org/officeDocument/2006/relationships" r:id="rId2"/>
          <a:extLst>
            <a:ext uri="{FF2B5EF4-FFF2-40B4-BE49-F238E27FC236}">
              <a16:creationId xmlns:a16="http://schemas.microsoft.com/office/drawing/2014/main" id="{00000000-0008-0000-0200-000065000000}"/>
            </a:ext>
          </a:extLst>
        </xdr:cNvPr>
        <xdr:cNvSpPr/>
      </xdr:nvSpPr>
      <xdr:spPr>
        <a:xfrm>
          <a:off x="3733800" y="114300"/>
          <a:ext cx="3362325" cy="352425"/>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ru-RU" sz="1800"/>
            <a:t> </a:t>
          </a:r>
          <a:r>
            <a:rPr lang="ru-RU" sz="1800" baseline="0"/>
            <a:t>Перейти к содержанию</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8</xdr:col>
      <xdr:colOff>219075</xdr:colOff>
      <xdr:row>4</xdr:row>
      <xdr:rowOff>161925</xdr:rowOff>
    </xdr:from>
    <xdr:ext cx="8640000" cy="520065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4</xdr:col>
      <xdr:colOff>522989</xdr:colOff>
      <xdr:row>0</xdr:row>
      <xdr:rowOff>114300</xdr:rowOff>
    </xdr:from>
    <xdr:ext cx="3362325" cy="352425"/>
    <xdr:sp macro="" textlink="">
      <xdr:nvSpPr>
        <xdr:cNvPr id="102" name="Прямоугольник: скругленные углы 102">
          <a:hlinkClick xmlns:r="http://schemas.openxmlformats.org/officeDocument/2006/relationships" r:id="rId2"/>
          <a:extLst>
            <a:ext uri="{FF2B5EF4-FFF2-40B4-BE49-F238E27FC236}">
              <a16:creationId xmlns:a16="http://schemas.microsoft.com/office/drawing/2014/main" id="{00000000-0008-0000-0300-000066000000}"/>
            </a:ext>
          </a:extLst>
        </xdr:cNvPr>
        <xdr:cNvSpPr/>
      </xdr:nvSpPr>
      <xdr:spPr>
        <a:xfrm>
          <a:off x="3733800" y="114300"/>
          <a:ext cx="3362325" cy="352425"/>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ru-RU" sz="1800"/>
            <a:t> </a:t>
          </a:r>
          <a:r>
            <a:rPr lang="ru-RU" sz="1800" baseline="0"/>
            <a:t>Перейти к содержанию</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12</xdr:col>
      <xdr:colOff>629395</xdr:colOff>
      <xdr:row>8</xdr:row>
      <xdr:rowOff>147726</xdr:rowOff>
    </xdr:from>
    <xdr:ext cx="7920000" cy="396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16</xdr:col>
      <xdr:colOff>276701</xdr:colOff>
      <xdr:row>0</xdr:row>
      <xdr:rowOff>154405</xdr:rowOff>
    </xdr:from>
    <xdr:ext cx="3362325" cy="352425"/>
    <xdr:sp macro="" textlink="">
      <xdr:nvSpPr>
        <xdr:cNvPr id="103" name="Прямоугольник: скругленные углы 103">
          <a:hlinkClick xmlns:r="http://schemas.openxmlformats.org/officeDocument/2006/relationships" r:id="rId2"/>
          <a:extLst>
            <a:ext uri="{FF2B5EF4-FFF2-40B4-BE49-F238E27FC236}">
              <a16:creationId xmlns:a16="http://schemas.microsoft.com/office/drawing/2014/main" id="{00000000-0008-0000-0400-000067000000}"/>
            </a:ext>
          </a:extLst>
        </xdr:cNvPr>
        <xdr:cNvSpPr/>
      </xdr:nvSpPr>
      <xdr:spPr>
        <a:xfrm>
          <a:off x="14012754" y="154405"/>
          <a:ext cx="3362325" cy="352425"/>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ru-RU" sz="1800"/>
            <a:t> </a:t>
          </a:r>
          <a:r>
            <a:rPr lang="ru-RU" sz="1800" baseline="0"/>
            <a:t>Перейти к содержанию</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10</xdr:col>
      <xdr:colOff>95250</xdr:colOff>
      <xdr:row>13</xdr:row>
      <xdr:rowOff>28575</xdr:rowOff>
    </xdr:from>
    <xdr:ext cx="8640000" cy="451485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2504475</xdr:colOff>
      <xdr:row>0</xdr:row>
      <xdr:rowOff>152400</xdr:rowOff>
    </xdr:from>
    <xdr:ext cx="3362325" cy="352425"/>
    <xdr:sp macro="" textlink="">
      <xdr:nvSpPr>
        <xdr:cNvPr id="104" name="Прямоугольник: скругленные углы 104">
          <a:hlinkClick xmlns:r="http://schemas.openxmlformats.org/officeDocument/2006/relationships" r:id="rId2"/>
          <a:extLst>
            <a:ext uri="{FF2B5EF4-FFF2-40B4-BE49-F238E27FC236}">
              <a16:creationId xmlns:a16="http://schemas.microsoft.com/office/drawing/2014/main" id="{00000000-0008-0000-0500-000068000000}"/>
            </a:ext>
          </a:extLst>
        </xdr:cNvPr>
        <xdr:cNvSpPr/>
      </xdr:nvSpPr>
      <xdr:spPr>
        <a:xfrm>
          <a:off x="2504475" y="152400"/>
          <a:ext cx="3362325" cy="352425"/>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ru-RU" sz="1800"/>
            <a:t> </a:t>
          </a:r>
          <a:r>
            <a:rPr lang="ru-RU" sz="1800" baseline="0"/>
            <a:t>Перейти к содержанию</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16</xdr:col>
      <xdr:colOff>276225</xdr:colOff>
      <xdr:row>13</xdr:row>
      <xdr:rowOff>47625</xdr:rowOff>
    </xdr:from>
    <xdr:ext cx="7920000" cy="3960000"/>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20669</xdr:colOff>
      <xdr:row>2</xdr:row>
      <xdr:rowOff>136712</xdr:rowOff>
    </xdr:from>
    <xdr:ext cx="3362325" cy="352425"/>
    <xdr:sp macro="" textlink="">
      <xdr:nvSpPr>
        <xdr:cNvPr id="105" name="Прямоугольник: скругленные углы 105">
          <a:hlinkClick xmlns:r="http://schemas.openxmlformats.org/officeDocument/2006/relationships" r:id="rId2"/>
          <a:extLst>
            <a:ext uri="{FF2B5EF4-FFF2-40B4-BE49-F238E27FC236}">
              <a16:creationId xmlns:a16="http://schemas.microsoft.com/office/drawing/2014/main" id="{00000000-0008-0000-0600-000069000000}"/>
            </a:ext>
          </a:extLst>
        </xdr:cNvPr>
        <xdr:cNvSpPr/>
      </xdr:nvSpPr>
      <xdr:spPr>
        <a:xfrm>
          <a:off x="7831169" y="629771"/>
          <a:ext cx="3362325" cy="352425"/>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ru-RU" sz="1800"/>
            <a:t> </a:t>
          </a:r>
          <a:r>
            <a:rPr lang="ru-RU" sz="1800" baseline="0"/>
            <a:t>Перейти к содержанию</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14</xdr:col>
      <xdr:colOff>381000</xdr:colOff>
      <xdr:row>15</xdr:row>
      <xdr:rowOff>89647</xdr:rowOff>
    </xdr:from>
    <xdr:ext cx="7920000" cy="3960000"/>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466252</xdr:colOff>
      <xdr:row>3</xdr:row>
      <xdr:rowOff>76200</xdr:rowOff>
    </xdr:from>
    <xdr:ext cx="3362325" cy="352425"/>
    <xdr:sp macro="" textlink="">
      <xdr:nvSpPr>
        <xdr:cNvPr id="106" name="Прямоугольник: скругленные углы 106">
          <a:hlinkClick xmlns:r="http://schemas.openxmlformats.org/officeDocument/2006/relationships" r:id="rId2"/>
          <a:extLst>
            <a:ext uri="{FF2B5EF4-FFF2-40B4-BE49-F238E27FC236}">
              <a16:creationId xmlns:a16="http://schemas.microsoft.com/office/drawing/2014/main" id="{00000000-0008-0000-0700-00006A000000}"/>
            </a:ext>
          </a:extLst>
        </xdr:cNvPr>
        <xdr:cNvSpPr/>
      </xdr:nvSpPr>
      <xdr:spPr>
        <a:xfrm>
          <a:off x="7648102" y="762000"/>
          <a:ext cx="3362325" cy="352425"/>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ru-RU" sz="1800"/>
            <a:t> </a:t>
          </a:r>
          <a:r>
            <a:rPr lang="ru-RU" sz="1800" baseline="0"/>
            <a:t>Перейти к содержанию</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0</xdr:col>
      <xdr:colOff>485775</xdr:colOff>
      <xdr:row>22</xdr:row>
      <xdr:rowOff>142874</xdr:rowOff>
    </xdr:from>
    <xdr:ext cx="8640000" cy="4476751"/>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3190275</xdr:colOff>
      <xdr:row>0</xdr:row>
      <xdr:rowOff>114300</xdr:rowOff>
    </xdr:from>
    <xdr:ext cx="3362325" cy="352425"/>
    <xdr:sp macro="" textlink="">
      <xdr:nvSpPr>
        <xdr:cNvPr id="107" name="Прямоугольник: скругленные углы 107">
          <a:hlinkClick xmlns:r="http://schemas.openxmlformats.org/officeDocument/2006/relationships" r:id="rId2"/>
          <a:extLst>
            <a:ext uri="{FF2B5EF4-FFF2-40B4-BE49-F238E27FC236}">
              <a16:creationId xmlns:a16="http://schemas.microsoft.com/office/drawing/2014/main" id="{00000000-0008-0000-0800-00006B000000}"/>
            </a:ext>
          </a:extLst>
        </xdr:cNvPr>
        <xdr:cNvSpPr/>
      </xdr:nvSpPr>
      <xdr:spPr>
        <a:xfrm>
          <a:off x="3190275" y="114300"/>
          <a:ext cx="3362325" cy="352425"/>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ru-RU" sz="1800"/>
            <a:t> </a:t>
          </a:r>
          <a:r>
            <a:rPr lang="ru-RU" sz="1800" baseline="0"/>
            <a:t>Перейти к содержанию</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13</xdr:col>
      <xdr:colOff>219075</xdr:colOff>
      <xdr:row>7</xdr:row>
      <xdr:rowOff>238124</xdr:rowOff>
    </xdr:from>
    <xdr:ext cx="8640000" cy="4486275"/>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2</xdr:col>
      <xdr:colOff>437264</xdr:colOff>
      <xdr:row>0</xdr:row>
      <xdr:rowOff>114300</xdr:rowOff>
    </xdr:from>
    <xdr:ext cx="3362325" cy="352425"/>
    <xdr:sp macro="" textlink="">
      <xdr:nvSpPr>
        <xdr:cNvPr id="108" name="Прямоугольник: скругленные углы 108">
          <a:hlinkClick xmlns:r="http://schemas.openxmlformats.org/officeDocument/2006/relationships" r:id="rId2"/>
          <a:extLst>
            <a:ext uri="{FF2B5EF4-FFF2-40B4-BE49-F238E27FC236}">
              <a16:creationId xmlns:a16="http://schemas.microsoft.com/office/drawing/2014/main" id="{00000000-0008-0000-0900-00006C000000}"/>
            </a:ext>
          </a:extLst>
        </xdr:cNvPr>
        <xdr:cNvSpPr/>
      </xdr:nvSpPr>
      <xdr:spPr>
        <a:xfrm>
          <a:off x="3447164" y="114300"/>
          <a:ext cx="3362325" cy="352425"/>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ru-RU" sz="1800"/>
            <a:t> </a:t>
          </a:r>
          <a:r>
            <a:rPr lang="ru-RU" sz="1800" baseline="0"/>
            <a:t>Перейти к содержанию</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14</xdr:col>
      <xdr:colOff>66675</xdr:colOff>
      <xdr:row>13</xdr:row>
      <xdr:rowOff>304800</xdr:rowOff>
    </xdr:from>
    <xdr:ext cx="7920000" cy="3960000"/>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14</xdr:col>
      <xdr:colOff>0</xdr:colOff>
      <xdr:row>27</xdr:row>
      <xdr:rowOff>190499</xdr:rowOff>
    </xdr:from>
    <xdr:ext cx="8096250" cy="5095876"/>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189614</xdr:colOff>
      <xdr:row>1</xdr:row>
      <xdr:rowOff>104775</xdr:rowOff>
    </xdr:from>
    <xdr:ext cx="3362325" cy="352425"/>
    <xdr:sp macro="" textlink="">
      <xdr:nvSpPr>
        <xdr:cNvPr id="109" name="Прямоугольник: скругленные углы 109">
          <a:hlinkClick xmlns:r="http://schemas.openxmlformats.org/officeDocument/2006/relationships" r:id="rId3"/>
          <a:extLst>
            <a:ext uri="{FF2B5EF4-FFF2-40B4-BE49-F238E27FC236}">
              <a16:creationId xmlns:a16="http://schemas.microsoft.com/office/drawing/2014/main" id="{00000000-0008-0000-0A00-00006D000000}"/>
            </a:ext>
          </a:extLst>
        </xdr:cNvPr>
        <xdr:cNvSpPr/>
      </xdr:nvSpPr>
      <xdr:spPr>
        <a:xfrm>
          <a:off x="2589914" y="295275"/>
          <a:ext cx="3362325" cy="352425"/>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ru-RU" sz="1800"/>
            <a:t> </a:t>
          </a:r>
          <a:r>
            <a:rPr lang="ru-RU" sz="1800" baseline="0"/>
            <a:t>Перейти к содержанию</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12</xdr:col>
      <xdr:colOff>400050</xdr:colOff>
      <xdr:row>11</xdr:row>
      <xdr:rowOff>171451</xdr:rowOff>
    </xdr:from>
    <xdr:ext cx="7200000" cy="5133974"/>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15</xdr:col>
      <xdr:colOff>361350</xdr:colOff>
      <xdr:row>0</xdr:row>
      <xdr:rowOff>257175</xdr:rowOff>
    </xdr:from>
    <xdr:ext cx="3362325" cy="352425"/>
    <xdr:sp macro="" textlink="">
      <xdr:nvSpPr>
        <xdr:cNvPr id="110" name="Прямоугольник: скругленные углы 110">
          <a:hlinkClick xmlns:r="http://schemas.openxmlformats.org/officeDocument/2006/relationships" r:id="rId2"/>
          <a:extLst>
            <a:ext uri="{FF2B5EF4-FFF2-40B4-BE49-F238E27FC236}">
              <a16:creationId xmlns:a16="http://schemas.microsoft.com/office/drawing/2014/main" id="{00000000-0008-0000-0B00-00006E000000}"/>
            </a:ext>
          </a:extLst>
        </xdr:cNvPr>
        <xdr:cNvSpPr/>
      </xdr:nvSpPr>
      <xdr:spPr>
        <a:xfrm>
          <a:off x="13277250" y="257175"/>
          <a:ext cx="3362325" cy="352425"/>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ru-RU" sz="1800"/>
            <a:t> </a:t>
          </a:r>
          <a:r>
            <a:rPr lang="ru-RU" sz="1800" baseline="0"/>
            <a:t>Перейти к содержанию</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26</xdr:col>
      <xdr:colOff>277090</xdr:colOff>
      <xdr:row>9</xdr:row>
      <xdr:rowOff>398318</xdr:rowOff>
    </xdr:from>
    <xdr:ext cx="7256319" cy="4756387"/>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4</xdr:col>
      <xdr:colOff>522989</xdr:colOff>
      <xdr:row>0</xdr:row>
      <xdr:rowOff>114300</xdr:rowOff>
    </xdr:from>
    <xdr:ext cx="3362325" cy="352425"/>
    <xdr:sp macro="" textlink="">
      <xdr:nvSpPr>
        <xdr:cNvPr id="111" name="Прямоугольник: скругленные углы 111">
          <a:hlinkClick xmlns:r="http://schemas.openxmlformats.org/officeDocument/2006/relationships" r:id="rId2"/>
          <a:extLst>
            <a:ext uri="{FF2B5EF4-FFF2-40B4-BE49-F238E27FC236}">
              <a16:creationId xmlns:a16="http://schemas.microsoft.com/office/drawing/2014/main" id="{00000000-0008-0000-0C00-00006F000000}"/>
            </a:ext>
          </a:extLst>
        </xdr:cNvPr>
        <xdr:cNvSpPr/>
      </xdr:nvSpPr>
      <xdr:spPr>
        <a:xfrm>
          <a:off x="3733800" y="114300"/>
          <a:ext cx="3362325" cy="352425"/>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ru-RU" sz="1800"/>
            <a:t> </a:t>
          </a:r>
          <a:r>
            <a:rPr lang="ru-RU" sz="1800" baseline="0"/>
            <a:t>Перейти к содержанию</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10</xdr:col>
      <xdr:colOff>408214</xdr:colOff>
      <xdr:row>9</xdr:row>
      <xdr:rowOff>299358</xdr:rowOff>
    </xdr:from>
    <xdr:ext cx="8640000" cy="3960000"/>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3084139</xdr:colOff>
      <xdr:row>0</xdr:row>
      <xdr:rowOff>100693</xdr:rowOff>
    </xdr:from>
    <xdr:ext cx="3362325" cy="352425"/>
    <xdr:sp macro="" textlink="">
      <xdr:nvSpPr>
        <xdr:cNvPr id="112" name="Прямоугольник: скругленные углы 112">
          <a:hlinkClick xmlns:r="http://schemas.openxmlformats.org/officeDocument/2006/relationships" r:id="rId2"/>
          <a:extLst>
            <a:ext uri="{FF2B5EF4-FFF2-40B4-BE49-F238E27FC236}">
              <a16:creationId xmlns:a16="http://schemas.microsoft.com/office/drawing/2014/main" id="{00000000-0008-0000-0D00-000070000000}"/>
            </a:ext>
          </a:extLst>
        </xdr:cNvPr>
        <xdr:cNvSpPr/>
      </xdr:nvSpPr>
      <xdr:spPr>
        <a:xfrm>
          <a:off x="3084139" y="100693"/>
          <a:ext cx="3362325" cy="352425"/>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ru-RU" sz="1800"/>
            <a:t> </a:t>
          </a:r>
          <a:r>
            <a:rPr lang="ru-RU" sz="1800" baseline="0"/>
            <a:t>Перейти к содержанию</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5</xdr:col>
      <xdr:colOff>438150</xdr:colOff>
      <xdr:row>9</xdr:row>
      <xdr:rowOff>295275</xdr:rowOff>
    </xdr:from>
    <xdr:ext cx="8267700" cy="4152900"/>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408975</xdr:colOff>
      <xdr:row>1</xdr:row>
      <xdr:rowOff>19050</xdr:rowOff>
    </xdr:from>
    <xdr:ext cx="3362325" cy="352425"/>
    <xdr:sp macro="" textlink="">
      <xdr:nvSpPr>
        <xdr:cNvPr id="113" name="Прямоугольник: скругленные углы 113">
          <a:hlinkClick xmlns:r="http://schemas.openxmlformats.org/officeDocument/2006/relationships" r:id="rId2"/>
          <a:extLst>
            <a:ext uri="{FF2B5EF4-FFF2-40B4-BE49-F238E27FC236}">
              <a16:creationId xmlns:a16="http://schemas.microsoft.com/office/drawing/2014/main" id="{00000000-0008-0000-0E00-000071000000}"/>
            </a:ext>
          </a:extLst>
        </xdr:cNvPr>
        <xdr:cNvSpPr/>
      </xdr:nvSpPr>
      <xdr:spPr>
        <a:xfrm>
          <a:off x="408975" y="209550"/>
          <a:ext cx="3362325" cy="352425"/>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ru-RU" sz="1800"/>
            <a:t> </a:t>
          </a:r>
          <a:r>
            <a:rPr lang="ru-RU" sz="1800" baseline="0"/>
            <a:t>Перейти к содержанию</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12</xdr:col>
      <xdr:colOff>500062</xdr:colOff>
      <xdr:row>7</xdr:row>
      <xdr:rowOff>166687</xdr:rowOff>
    </xdr:from>
    <xdr:ext cx="6429375" cy="3960000"/>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15</xdr:col>
      <xdr:colOff>475364</xdr:colOff>
      <xdr:row>0</xdr:row>
      <xdr:rowOff>102394</xdr:rowOff>
    </xdr:from>
    <xdr:ext cx="3362325" cy="352425"/>
    <xdr:sp macro="" textlink="">
      <xdr:nvSpPr>
        <xdr:cNvPr id="114" name="Прямоугольник: скругленные углы 114">
          <a:hlinkClick xmlns:r="http://schemas.openxmlformats.org/officeDocument/2006/relationships" r:id="rId2"/>
          <a:extLst>
            <a:ext uri="{FF2B5EF4-FFF2-40B4-BE49-F238E27FC236}">
              <a16:creationId xmlns:a16="http://schemas.microsoft.com/office/drawing/2014/main" id="{00000000-0008-0000-0F00-000072000000}"/>
            </a:ext>
          </a:extLst>
        </xdr:cNvPr>
        <xdr:cNvSpPr/>
      </xdr:nvSpPr>
      <xdr:spPr>
        <a:xfrm>
          <a:off x="11226708" y="102394"/>
          <a:ext cx="3362325" cy="352425"/>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ru-RU" sz="1800"/>
            <a:t> </a:t>
          </a:r>
          <a:r>
            <a:rPr lang="ru-RU" sz="1800" baseline="0"/>
            <a:t>Перейти к содержанию</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14</xdr:col>
      <xdr:colOff>408214</xdr:colOff>
      <xdr:row>7</xdr:row>
      <xdr:rowOff>149677</xdr:rowOff>
    </xdr:from>
    <xdr:ext cx="7200000" cy="4322931"/>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3516017</xdr:colOff>
      <xdr:row>0</xdr:row>
      <xdr:rowOff>46264</xdr:rowOff>
    </xdr:from>
    <xdr:ext cx="3362325" cy="352425"/>
    <xdr:sp macro="" textlink="">
      <xdr:nvSpPr>
        <xdr:cNvPr id="115" name="Прямоугольник: скругленные углы 115">
          <a:hlinkClick xmlns:r="http://schemas.openxmlformats.org/officeDocument/2006/relationships" r:id="rId2"/>
          <a:extLst>
            <a:ext uri="{FF2B5EF4-FFF2-40B4-BE49-F238E27FC236}">
              <a16:creationId xmlns:a16="http://schemas.microsoft.com/office/drawing/2014/main" id="{00000000-0008-0000-1000-000073000000}"/>
            </a:ext>
          </a:extLst>
        </xdr:cNvPr>
        <xdr:cNvSpPr/>
      </xdr:nvSpPr>
      <xdr:spPr>
        <a:xfrm>
          <a:off x="3516017" y="46264"/>
          <a:ext cx="3362325" cy="352425"/>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ru-RU" sz="1800"/>
            <a:t> </a:t>
          </a:r>
          <a:r>
            <a:rPr lang="ru-RU" sz="1800" baseline="0"/>
            <a:t>Перейти к содержанию</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19</xdr:col>
      <xdr:colOff>0</xdr:colOff>
      <xdr:row>5</xdr:row>
      <xdr:rowOff>217713</xdr:rowOff>
    </xdr:from>
    <xdr:ext cx="8565720" cy="4395108"/>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23</xdr:col>
      <xdr:colOff>577412</xdr:colOff>
      <xdr:row>0</xdr:row>
      <xdr:rowOff>52450</xdr:rowOff>
    </xdr:from>
    <xdr:ext cx="3362325" cy="352425"/>
    <xdr:sp macro="" textlink="">
      <xdr:nvSpPr>
        <xdr:cNvPr id="116" name="Прямоугольник: скругленные углы 116">
          <a:hlinkClick xmlns:r="http://schemas.openxmlformats.org/officeDocument/2006/relationships" r:id="rId2"/>
          <a:extLst>
            <a:ext uri="{FF2B5EF4-FFF2-40B4-BE49-F238E27FC236}">
              <a16:creationId xmlns:a16="http://schemas.microsoft.com/office/drawing/2014/main" id="{00000000-0008-0000-1100-000074000000}"/>
            </a:ext>
          </a:extLst>
        </xdr:cNvPr>
        <xdr:cNvSpPr/>
      </xdr:nvSpPr>
      <xdr:spPr>
        <a:xfrm>
          <a:off x="17368626" y="52450"/>
          <a:ext cx="3362325" cy="352425"/>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ru-RU" sz="1800"/>
            <a:t> </a:t>
          </a:r>
          <a:r>
            <a:rPr lang="ru-RU" sz="1800" baseline="0"/>
            <a:t>Перейти к содержанию</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18</xdr:col>
      <xdr:colOff>28575</xdr:colOff>
      <xdr:row>6</xdr:row>
      <xdr:rowOff>133350</xdr:rowOff>
    </xdr:from>
    <xdr:ext cx="7920000" cy="3960000"/>
    <xdr:graphicFrame macro="">
      <xdr:nvGraphicFramePr>
        <xdr:cNvPr id="2" name="Chart 1">
          <a:extLst>
            <a:ext uri="{FF2B5EF4-FFF2-40B4-BE49-F238E27FC236}">
              <a16:creationId xmlns:a16="http://schemas.microsoft.com/office/drawing/2014/main" id="{00000000-0008-0000-1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3</xdr:col>
      <xdr:colOff>246764</xdr:colOff>
      <xdr:row>0</xdr:row>
      <xdr:rowOff>38100</xdr:rowOff>
    </xdr:from>
    <xdr:ext cx="3362325" cy="352425"/>
    <xdr:sp macro="" textlink="">
      <xdr:nvSpPr>
        <xdr:cNvPr id="117" name="Прямоугольник: скругленные углы 117">
          <a:hlinkClick xmlns:r="http://schemas.openxmlformats.org/officeDocument/2006/relationships" r:id="rId2"/>
          <a:extLst>
            <a:ext uri="{FF2B5EF4-FFF2-40B4-BE49-F238E27FC236}">
              <a16:creationId xmlns:a16="http://schemas.microsoft.com/office/drawing/2014/main" id="{00000000-0008-0000-1200-000075000000}"/>
            </a:ext>
          </a:extLst>
        </xdr:cNvPr>
        <xdr:cNvSpPr/>
      </xdr:nvSpPr>
      <xdr:spPr>
        <a:xfrm>
          <a:off x="3866264" y="38100"/>
          <a:ext cx="3362325" cy="352425"/>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ru-RU" sz="1800"/>
            <a:t> </a:t>
          </a:r>
          <a:r>
            <a:rPr lang="ru-RU" sz="1800" baseline="0"/>
            <a:t>Перейти к содержанию</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7</xdr:col>
      <xdr:colOff>328893</xdr:colOff>
      <xdr:row>7</xdr:row>
      <xdr:rowOff>187697</xdr:rowOff>
    </xdr:from>
    <xdr:ext cx="7873812" cy="4476751"/>
    <xdr:graphicFrame macro="">
      <xdr:nvGraphicFramePr>
        <xdr:cNvPr id="200" name="Chart 1">
          <a:extLst>
            <a:ext uri="{FF2B5EF4-FFF2-40B4-BE49-F238E27FC236}">
              <a16:creationId xmlns:a16="http://schemas.microsoft.com/office/drawing/2014/main" id="{00000000-0008-0000-1300-0000C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11</xdr:col>
      <xdr:colOff>175608</xdr:colOff>
      <xdr:row>0</xdr:row>
      <xdr:rowOff>159124</xdr:rowOff>
    </xdr:from>
    <xdr:ext cx="3362325" cy="352425"/>
    <xdr:sp macro="" textlink="">
      <xdr:nvSpPr>
        <xdr:cNvPr id="118" name="Прямоугольник: скругленные углы 118">
          <a:hlinkClick xmlns:r="http://schemas.openxmlformats.org/officeDocument/2006/relationships" r:id="rId2"/>
          <a:extLst>
            <a:ext uri="{FF2B5EF4-FFF2-40B4-BE49-F238E27FC236}">
              <a16:creationId xmlns:a16="http://schemas.microsoft.com/office/drawing/2014/main" id="{00000000-0008-0000-1300-000076000000}"/>
            </a:ext>
          </a:extLst>
        </xdr:cNvPr>
        <xdr:cNvSpPr/>
      </xdr:nvSpPr>
      <xdr:spPr>
        <a:xfrm>
          <a:off x="7750784" y="159124"/>
          <a:ext cx="3362325" cy="352425"/>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ru-RU" sz="1800"/>
            <a:t> </a:t>
          </a:r>
          <a:r>
            <a:rPr lang="ru-RU" sz="1800" baseline="0"/>
            <a:t>Перейти к содержанию</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13</xdr:col>
      <xdr:colOff>367393</xdr:colOff>
      <xdr:row>6</xdr:row>
      <xdr:rowOff>204106</xdr:rowOff>
    </xdr:from>
    <xdr:ext cx="8640000" cy="4101193"/>
    <xdr:graphicFrame macro="">
      <xdr:nvGraphicFramePr>
        <xdr:cNvPr id="2" name="Chart 1">
          <a:extLst>
            <a:ext uri="{FF2B5EF4-FFF2-40B4-BE49-F238E27FC236}">
              <a16:creationId xmlns:a16="http://schemas.microsoft.com/office/drawing/2014/main" id="{00000000-0008-0000-1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264453</xdr:colOff>
      <xdr:row>0</xdr:row>
      <xdr:rowOff>73479</xdr:rowOff>
    </xdr:from>
    <xdr:ext cx="3362325" cy="352425"/>
    <xdr:sp macro="" textlink="">
      <xdr:nvSpPr>
        <xdr:cNvPr id="119" name="Прямоугольник: скругленные углы 119">
          <a:hlinkClick xmlns:r="http://schemas.openxmlformats.org/officeDocument/2006/relationships" r:id="rId2"/>
          <a:extLst>
            <a:ext uri="{FF2B5EF4-FFF2-40B4-BE49-F238E27FC236}">
              <a16:creationId xmlns:a16="http://schemas.microsoft.com/office/drawing/2014/main" id="{00000000-0008-0000-1400-000077000000}"/>
            </a:ext>
          </a:extLst>
        </xdr:cNvPr>
        <xdr:cNvSpPr/>
      </xdr:nvSpPr>
      <xdr:spPr>
        <a:xfrm>
          <a:off x="2659310" y="73479"/>
          <a:ext cx="3362325" cy="352425"/>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ru-RU" sz="1800"/>
            <a:t> </a:t>
          </a:r>
          <a:r>
            <a:rPr lang="ru-RU" sz="1800" baseline="0"/>
            <a:t>Перейти к содержанию</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7</xdr:col>
      <xdr:colOff>431172</xdr:colOff>
      <xdr:row>7</xdr:row>
      <xdr:rowOff>282642</xdr:rowOff>
    </xdr:from>
    <xdr:ext cx="8331828" cy="7695945"/>
    <xdr:graphicFrame macro="">
      <xdr:nvGraphicFramePr>
        <xdr:cNvPr id="201" name="Chart 1">
          <a:extLst>
            <a:ext uri="{FF2B5EF4-FFF2-40B4-BE49-F238E27FC236}">
              <a16:creationId xmlns:a16="http://schemas.microsoft.com/office/drawing/2014/main" id="{00000000-0008-0000-1500-0000C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11</xdr:col>
      <xdr:colOff>508443</xdr:colOff>
      <xdr:row>2</xdr:row>
      <xdr:rowOff>91888</xdr:rowOff>
    </xdr:from>
    <xdr:ext cx="3362325" cy="352425"/>
    <xdr:sp macro="" textlink="">
      <xdr:nvSpPr>
        <xdr:cNvPr id="120" name="Прямоугольник: скругленные углы 120">
          <a:hlinkClick xmlns:r="http://schemas.openxmlformats.org/officeDocument/2006/relationships" r:id="rId2"/>
          <a:extLst>
            <a:ext uri="{FF2B5EF4-FFF2-40B4-BE49-F238E27FC236}">
              <a16:creationId xmlns:a16="http://schemas.microsoft.com/office/drawing/2014/main" id="{00000000-0008-0000-1500-000078000000}"/>
            </a:ext>
          </a:extLst>
        </xdr:cNvPr>
        <xdr:cNvSpPr/>
      </xdr:nvSpPr>
      <xdr:spPr>
        <a:xfrm>
          <a:off x="10257561" y="484094"/>
          <a:ext cx="3362325" cy="352425"/>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ru-RU" sz="1800"/>
            <a:t> </a:t>
          </a:r>
          <a:r>
            <a:rPr lang="ru-RU" sz="1800" baseline="0"/>
            <a:t>Перейти к содержанию</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9</xdr:col>
      <xdr:colOff>104175</xdr:colOff>
      <xdr:row>3</xdr:row>
      <xdr:rowOff>1000125</xdr:rowOff>
    </xdr:from>
    <xdr:ext cx="3362325" cy="352425"/>
    <xdr:sp macro="" textlink="">
      <xdr:nvSpPr>
        <xdr:cNvPr id="121" name="Прямоугольник: скругленные углы 121">
          <a:hlinkClick xmlns:r="http://schemas.openxmlformats.org/officeDocument/2006/relationships" r:id="rId1"/>
          <a:extLst>
            <a:ext uri="{FF2B5EF4-FFF2-40B4-BE49-F238E27FC236}">
              <a16:creationId xmlns:a16="http://schemas.microsoft.com/office/drawing/2014/main" id="{00000000-0008-0000-1600-000079000000}"/>
            </a:ext>
          </a:extLst>
        </xdr:cNvPr>
        <xdr:cNvSpPr/>
      </xdr:nvSpPr>
      <xdr:spPr>
        <a:xfrm>
          <a:off x="9686325" y="2619375"/>
          <a:ext cx="3362325" cy="352425"/>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ru-RU" sz="1800"/>
            <a:t> </a:t>
          </a:r>
          <a:r>
            <a:rPr lang="ru-RU" sz="1800" baseline="0"/>
            <a:t>Перейти к содержанию</a:t>
          </a:r>
        </a:p>
      </xdr:txBody>
    </xdr:sp>
    <xdr:clientData/>
  </xdr:one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
  <sheetViews>
    <sheetView showGridLines="0" tabSelected="1" workbookViewId="0"/>
  </sheetViews>
  <sheetFormatPr defaultRowHeight="15" x14ac:dyDescent="0.25"/>
  <cols>
    <col min="1" max="8" width="12.7109375" customWidth="1"/>
    <col min="9" max="9" width="43.5703125" customWidth="1"/>
    <col min="10" max="11" width="11" customWidth="1"/>
  </cols>
  <sheetData>
    <row r="1" spans="1:9" ht="17.25" customHeight="1" x14ac:dyDescent="0.3">
      <c r="A1" s="171"/>
    </row>
    <row r="2" spans="1:9" ht="18.75" customHeight="1" x14ac:dyDescent="0.25">
      <c r="A2" s="172"/>
      <c r="I2" s="181" t="s">
        <v>0</v>
      </c>
    </row>
    <row r="3" spans="1:9" ht="18.75" customHeight="1" x14ac:dyDescent="0.3">
      <c r="I3" s="182" t="s">
        <v>1</v>
      </c>
    </row>
    <row r="4" spans="1:9" ht="18.75" customHeight="1" x14ac:dyDescent="0.3">
      <c r="I4" s="182" t="s">
        <v>2</v>
      </c>
    </row>
    <row r="5" spans="1:9" ht="18.75" customHeight="1" x14ac:dyDescent="0.3">
      <c r="I5" s="182" t="s">
        <v>3</v>
      </c>
    </row>
    <row r="6" spans="1:9" ht="18.75" customHeight="1" x14ac:dyDescent="0.3">
      <c r="I6" s="182" t="s">
        <v>4</v>
      </c>
    </row>
    <row r="7" spans="1:9" ht="18.75" customHeight="1" x14ac:dyDescent="0.3">
      <c r="I7" s="182" t="s">
        <v>5</v>
      </c>
    </row>
    <row r="8" spans="1:9" ht="18.75" customHeight="1" x14ac:dyDescent="0.3">
      <c r="I8" s="182" t="s">
        <v>6</v>
      </c>
    </row>
    <row r="9" spans="1:9" ht="18.75" customHeight="1" x14ac:dyDescent="0.3">
      <c r="I9" s="182" t="s">
        <v>7</v>
      </c>
    </row>
    <row r="10" spans="1:9" ht="18.75" customHeight="1" x14ac:dyDescent="0.3">
      <c r="I10" s="182" t="s">
        <v>8</v>
      </c>
    </row>
    <row r="11" spans="1:9" ht="18.75" customHeight="1" x14ac:dyDescent="0.3">
      <c r="I11" s="182" t="s">
        <v>9</v>
      </c>
    </row>
    <row r="12" spans="1:9" ht="18.75" customHeight="1" x14ac:dyDescent="0.3">
      <c r="I12" s="182" t="s">
        <v>10</v>
      </c>
    </row>
    <row r="13" spans="1:9" ht="18.75" customHeight="1" x14ac:dyDescent="0.3">
      <c r="I13" s="182" t="s">
        <v>11</v>
      </c>
    </row>
    <row r="14" spans="1:9" ht="18.75" customHeight="1" x14ac:dyDescent="0.3">
      <c r="I14" s="182" t="s">
        <v>12</v>
      </c>
    </row>
    <row r="15" spans="1:9" ht="18.75" customHeight="1" x14ac:dyDescent="0.3">
      <c r="I15" s="182" t="s">
        <v>13</v>
      </c>
    </row>
    <row r="16" spans="1:9" ht="18.75" customHeight="1" x14ac:dyDescent="0.3">
      <c r="I16" s="182" t="s">
        <v>14</v>
      </c>
    </row>
    <row r="17" spans="9:9" ht="18.75" customHeight="1" x14ac:dyDescent="0.3">
      <c r="I17" s="182" t="s">
        <v>15</v>
      </c>
    </row>
    <row r="18" spans="9:9" ht="18.75" customHeight="1" x14ac:dyDescent="0.3">
      <c r="I18" s="182" t="s">
        <v>16</v>
      </c>
    </row>
    <row r="19" spans="9:9" ht="18.75" customHeight="1" x14ac:dyDescent="0.3">
      <c r="I19" s="182" t="s">
        <v>17</v>
      </c>
    </row>
    <row r="20" spans="9:9" ht="18.75" customHeight="1" x14ac:dyDescent="0.3">
      <c r="I20" s="182" t="s">
        <v>18</v>
      </c>
    </row>
    <row r="21" spans="9:9" ht="18.75" customHeight="1" x14ac:dyDescent="0.3">
      <c r="I21" s="182" t="s">
        <v>19</v>
      </c>
    </row>
    <row r="22" spans="9:9" ht="18.75" customHeight="1" x14ac:dyDescent="0.3">
      <c r="I22" s="182" t="s">
        <v>20</v>
      </c>
    </row>
    <row r="23" spans="9:9" ht="18.75" customHeight="1" x14ac:dyDescent="0.3">
      <c r="I23" s="182" t="s">
        <v>21</v>
      </c>
    </row>
    <row r="24" spans="9:9" ht="18.75" customHeight="1" x14ac:dyDescent="0.3">
      <c r="I24" s="182" t="s">
        <v>22</v>
      </c>
    </row>
    <row r="26" spans="9:9" x14ac:dyDescent="0.25">
      <c r="I26" s="251" t="s">
        <v>23</v>
      </c>
    </row>
    <row r="27" spans="9:9" x14ac:dyDescent="0.25">
      <c r="I27" s="238"/>
    </row>
  </sheetData>
  <mergeCells count="1">
    <mergeCell ref="I26:I27"/>
  </mergeCells>
  <hyperlinks>
    <hyperlink ref="I3" location="'2.1 Соц-эк показатели ИКТ'!A1" display="2.1 Соц-эк показатели ИКТ" xr:uid="{00000000-0004-0000-0000-000000000000}"/>
    <hyperlink ref="I4" location="'2.1 Показатели по областям'!A1" display="2.1 Показатели по областям" xr:uid="{00000000-0004-0000-0000-000001000000}"/>
    <hyperlink ref="I5" location="'Затраты ИКТ организаций 2020'!A1" display="Затраты ИКТ организаций 2020" xr:uid="{00000000-0004-0000-0000-000002000000}"/>
    <hyperlink ref="I6" location="'3.2 Отгружено продукции ИКТ'!A1" display="3.2 Отгружено продукции ИКТ" xr:uid="{00000000-0004-0000-0000-000003000000}"/>
    <hyperlink ref="I7" location="'3.3 Объем данных Интернет'!A1" display="3.3 Объем данных Интернет" xr:uid="{00000000-0004-0000-0000-000004000000}"/>
    <hyperlink ref="I8" location="'4.1 Экспорт товаров ИКТ'!A1" display="4.1 Экспорт товаров ИКТ" xr:uid="{00000000-0004-0000-0000-000005000000}"/>
    <hyperlink ref="I9" location="'4.2 Импорт товаров ИКТ'!A1" display="4.2 Импорт товаров ИКТ" xr:uid="{00000000-0004-0000-0000-000006000000}"/>
    <hyperlink ref="I10" location="'4.2 ИКТ по областям'!A1" display="4.2 ИКТ по областям" xr:uid="{00000000-0004-0000-0000-000007000000}"/>
    <hyperlink ref="I11" location="'4.6 Экспорт услуг ИКТ'!A1" display="4.6 Экспорт услуг ИКТ" xr:uid="{00000000-0004-0000-0000-000008000000}"/>
    <hyperlink ref="I12" location="'4.7 Импорт услуг ИКТ'!A1" display="4.7 Импорт услуг ИКТ" xr:uid="{00000000-0004-0000-0000-000009000000}"/>
    <hyperlink ref="I13" location="'4.9 Цели организаций 2020'!A1" display="4.9 Цели организаций 2020" xr:uid="{00000000-0004-0000-0000-00000A000000}"/>
    <hyperlink ref="I14" location="'5.1 Резиденты ПВТ'!A1" display="5.1 Резиденты ПВТ" xr:uid="{00000000-0004-0000-0000-00000B000000}"/>
    <hyperlink ref="I15" location="'5.2 Финансы ПВТ'!A1" display="5.2 Финансы ПВТ" xr:uid="{00000000-0004-0000-0000-00000C000000}"/>
    <hyperlink ref="I16" location="'5.6 Затраты ПВТ 2020'!A1" display="5.6 Затраты ПВТ 2020" xr:uid="{00000000-0004-0000-0000-00000D000000}"/>
    <hyperlink ref="I17" location="'5.7 Отгружено продукции ПВТ'!A1" display="5.7 Отгружено продукции ПВТ" xr:uid="{00000000-0004-0000-0000-00000E000000}"/>
    <hyperlink ref="I18" location="'5.8 Цели населения 2020'!A1" display="5.8 Цели населения 2020" xr:uid="{00000000-0004-0000-0000-00000F000000}"/>
    <hyperlink ref="I19" location="'6.1 Сеть передачи данных'!A1" display="6.1 Сеть передачи данных" xr:uid="{00000000-0004-0000-0000-000010000000}"/>
    <hyperlink ref="I20" location="'6.3 Доступ физлиц к Интернет'!A1" display="6.3 Доступ физлиц к Интернет" xr:uid="{00000000-0004-0000-0000-000011000000}"/>
    <hyperlink ref="I21" location="'7.1 Работники, использ. ПК'!A1" display="7.1 Работники, использ. ПК" xr:uid="{00000000-0004-0000-0000-000012000000}"/>
    <hyperlink ref="I22" location="'7.2 Использование ИКТ орг'!A1" display="7.2 Использование ИКТ орг" xr:uid="{00000000-0004-0000-0000-000013000000}"/>
    <hyperlink ref="I23" location="'7.3 ИКТ по видам деят-ти 2020'!A1" display="7.3 ИКТ по видам деят-ти 2020" xr:uid="{00000000-0004-0000-0000-000014000000}"/>
    <hyperlink ref="I24" location="'Выводы'!A1" display="Выводы" xr:uid="{00000000-0004-0000-0000-000015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AE50"/>
  <sheetViews>
    <sheetView showGridLines="0" zoomScale="70" zoomScaleNormal="70" workbookViewId="0"/>
  </sheetViews>
  <sheetFormatPr defaultRowHeight="15" x14ac:dyDescent="0.25"/>
  <cols>
    <col min="1" max="1" width="36" customWidth="1"/>
    <col min="2" max="5" width="14" customWidth="1"/>
    <col min="15" max="15" width="1.7109375" customWidth="1"/>
    <col min="17" max="17" width="24.85546875" customWidth="1"/>
    <col min="31" max="31" width="1.85546875" customWidth="1"/>
  </cols>
  <sheetData>
    <row r="1" spans="1:31" x14ac:dyDescent="0.25">
      <c r="O1" s="257"/>
      <c r="AE1" s="257"/>
    </row>
    <row r="2" spans="1:31" x14ac:dyDescent="0.25">
      <c r="O2" s="238"/>
      <c r="AE2" s="238"/>
    </row>
    <row r="3" spans="1:31" ht="15" customHeight="1" x14ac:dyDescent="0.25">
      <c r="O3" s="238"/>
      <c r="Q3" s="259" t="s">
        <v>24</v>
      </c>
      <c r="R3" s="238"/>
      <c r="S3" s="238"/>
      <c r="T3" s="238"/>
      <c r="U3" s="238"/>
      <c r="V3" s="238"/>
      <c r="W3" s="238"/>
      <c r="X3" s="238"/>
      <c r="Y3" s="238"/>
      <c r="Z3" s="238"/>
      <c r="AA3" s="238"/>
      <c r="AB3" s="238"/>
      <c r="AC3" s="238"/>
      <c r="AE3" s="238"/>
    </row>
    <row r="4" spans="1:31" ht="9" customHeight="1" x14ac:dyDescent="0.25">
      <c r="A4" s="252"/>
      <c r="B4" s="238"/>
      <c r="C4" s="238"/>
      <c r="D4" s="238"/>
      <c r="E4" s="238"/>
      <c r="F4" s="238"/>
      <c r="G4" s="238"/>
      <c r="H4" s="238"/>
      <c r="I4" s="238"/>
      <c r="J4" s="238"/>
      <c r="K4" s="238"/>
      <c r="L4" s="238"/>
      <c r="M4" s="238"/>
      <c r="N4" s="238"/>
      <c r="O4" s="238"/>
      <c r="Q4" s="260"/>
      <c r="R4" s="260"/>
      <c r="S4" s="260"/>
      <c r="T4" s="260"/>
      <c r="U4" s="260"/>
      <c r="V4" s="260"/>
      <c r="W4" s="260"/>
      <c r="X4" s="260"/>
      <c r="Y4" s="260"/>
      <c r="Z4" s="260"/>
      <c r="AA4" s="260"/>
      <c r="AB4" s="260"/>
      <c r="AC4" s="260"/>
      <c r="AE4" s="238"/>
    </row>
    <row r="5" spans="1:31" ht="15.75" customHeight="1" thickBot="1" x14ac:dyDescent="0.3">
      <c r="O5" s="238"/>
      <c r="Q5" s="262" t="s">
        <v>25</v>
      </c>
      <c r="R5" s="263"/>
      <c r="S5" s="263"/>
      <c r="T5" s="263"/>
      <c r="U5" s="263"/>
      <c r="V5" s="263"/>
      <c r="W5" s="263"/>
      <c r="X5" s="263"/>
      <c r="Y5" s="263"/>
      <c r="Z5" s="263"/>
      <c r="AA5" s="263"/>
      <c r="AB5" s="263"/>
      <c r="AC5" s="264"/>
      <c r="AE5" s="238"/>
    </row>
    <row r="6" spans="1:31" ht="18.600000000000001" customHeight="1" thickBot="1" x14ac:dyDescent="0.3">
      <c r="A6" s="258" t="s">
        <v>26</v>
      </c>
      <c r="B6" s="249"/>
      <c r="C6" s="249"/>
      <c r="D6" s="249"/>
      <c r="E6" s="249"/>
      <c r="F6" s="249"/>
      <c r="G6" s="249"/>
      <c r="H6" s="249"/>
      <c r="I6" s="250"/>
      <c r="J6" s="1"/>
      <c r="K6" s="1"/>
      <c r="O6" s="238"/>
      <c r="Q6" s="265"/>
      <c r="R6" s="238"/>
      <c r="S6" s="238"/>
      <c r="T6" s="238"/>
      <c r="U6" s="238"/>
      <c r="V6" s="238"/>
      <c r="W6" s="238"/>
      <c r="X6" s="238"/>
      <c r="Y6" s="238"/>
      <c r="Z6" s="238"/>
      <c r="AA6" s="238"/>
      <c r="AB6" s="238"/>
      <c r="AC6" s="266"/>
      <c r="AE6" s="238"/>
    </row>
    <row r="7" spans="1:31" ht="15" customHeight="1" thickBot="1" x14ac:dyDescent="0.3">
      <c r="A7" s="2"/>
      <c r="B7" s="159">
        <v>2011</v>
      </c>
      <c r="C7" s="159">
        <v>2012</v>
      </c>
      <c r="D7" s="159">
        <v>2013</v>
      </c>
      <c r="E7" s="159">
        <v>2014</v>
      </c>
      <c r="F7" s="159">
        <v>2015</v>
      </c>
      <c r="G7" s="160">
        <v>2016</v>
      </c>
      <c r="H7" s="160">
        <v>2017</v>
      </c>
      <c r="I7" s="161">
        <v>2018</v>
      </c>
      <c r="J7" s="32">
        <v>2019</v>
      </c>
      <c r="K7" s="32">
        <v>2020</v>
      </c>
      <c r="L7" s="103">
        <v>2021</v>
      </c>
      <c r="M7" s="103">
        <v>2022</v>
      </c>
      <c r="O7" s="238"/>
      <c r="Q7" s="267"/>
      <c r="R7" s="260"/>
      <c r="S7" s="260"/>
      <c r="T7" s="260"/>
      <c r="U7" s="260"/>
      <c r="V7" s="260"/>
      <c r="W7" s="260"/>
      <c r="X7" s="260"/>
      <c r="Y7" s="260"/>
      <c r="Z7" s="260"/>
      <c r="AA7" s="260"/>
      <c r="AB7" s="260"/>
      <c r="AC7" s="268"/>
      <c r="AE7" s="238"/>
    </row>
    <row r="8" spans="1:31" ht="45" customHeight="1" x14ac:dyDescent="0.25">
      <c r="A8" s="3" t="s">
        <v>27</v>
      </c>
      <c r="B8" s="4">
        <v>3569</v>
      </c>
      <c r="C8" s="4">
        <v>3958</v>
      </c>
      <c r="D8" s="4">
        <v>4227</v>
      </c>
      <c r="E8" s="5">
        <v>4477</v>
      </c>
      <c r="F8" s="5">
        <v>4536</v>
      </c>
      <c r="G8" s="6">
        <v>3962</v>
      </c>
      <c r="H8" s="6">
        <v>4492</v>
      </c>
      <c r="I8" s="6">
        <v>4996</v>
      </c>
      <c r="J8" s="104">
        <v>5202</v>
      </c>
      <c r="K8" s="104">
        <v>5341</v>
      </c>
      <c r="L8" s="104">
        <v>5412</v>
      </c>
      <c r="M8" s="104">
        <v>5437</v>
      </c>
      <c r="O8" s="238"/>
      <c r="AE8" s="238"/>
    </row>
    <row r="9" spans="1:31" ht="57.75" customHeight="1" x14ac:dyDescent="0.25">
      <c r="A9" s="7" t="s">
        <v>28</v>
      </c>
      <c r="B9" s="8">
        <f>8752.3/10</f>
        <v>875.2299999999999</v>
      </c>
      <c r="C9" s="8">
        <f>17823.4/10</f>
        <v>1782.3400000000001</v>
      </c>
      <c r="D9" s="8">
        <f>20706.8/10</f>
        <v>2070.6799999999998</v>
      </c>
      <c r="E9" s="9">
        <f>24133.5/10</f>
        <v>2413.35</v>
      </c>
      <c r="F9" s="9">
        <f>31621.5/10</f>
        <v>3162.15</v>
      </c>
      <c r="G9" s="10">
        <v>4265.5</v>
      </c>
      <c r="H9" s="10">
        <v>5539.6</v>
      </c>
      <c r="I9" s="10">
        <v>6749.5</v>
      </c>
      <c r="J9" s="152">
        <v>8725.2999999999993</v>
      </c>
      <c r="K9" s="152">
        <v>10816.8</v>
      </c>
      <c r="L9" s="152">
        <v>13258.8</v>
      </c>
      <c r="M9" s="152">
        <v>12471.1</v>
      </c>
      <c r="O9" s="238"/>
      <c r="R9" s="186">
        <v>2011</v>
      </c>
      <c r="S9" s="186">
        <v>2012</v>
      </c>
      <c r="T9" s="186">
        <v>2013</v>
      </c>
      <c r="U9" s="186">
        <v>2014</v>
      </c>
      <c r="V9" s="186">
        <v>2015</v>
      </c>
      <c r="W9" s="186">
        <v>2016</v>
      </c>
      <c r="X9" s="186">
        <v>2017</v>
      </c>
      <c r="Y9" s="186">
        <v>2018</v>
      </c>
      <c r="Z9" s="186">
        <v>2019</v>
      </c>
      <c r="AA9" s="186">
        <v>2020</v>
      </c>
      <c r="AB9" s="186">
        <v>2021</v>
      </c>
      <c r="AC9" s="186">
        <v>2022</v>
      </c>
      <c r="AE9" s="238"/>
    </row>
    <row r="10" spans="1:31" ht="66" customHeight="1" x14ac:dyDescent="0.25">
      <c r="A10" s="7" t="s">
        <v>29</v>
      </c>
      <c r="B10" s="11">
        <v>2.8</v>
      </c>
      <c r="C10" s="11">
        <v>3.3</v>
      </c>
      <c r="D10" s="11">
        <v>3.1</v>
      </c>
      <c r="E10" s="11">
        <v>3</v>
      </c>
      <c r="F10" s="11">
        <v>3.5</v>
      </c>
      <c r="G10" s="12">
        <v>4.5</v>
      </c>
      <c r="H10" s="12">
        <v>5.2</v>
      </c>
      <c r="I10" s="12">
        <v>5.6</v>
      </c>
      <c r="J10" s="103">
        <v>6.5</v>
      </c>
      <c r="K10" s="32">
        <v>7.3</v>
      </c>
      <c r="L10" s="103">
        <v>7.5</v>
      </c>
      <c r="M10" s="103">
        <v>6.5</v>
      </c>
      <c r="O10" s="238"/>
      <c r="Q10" s="187" t="s">
        <v>30</v>
      </c>
      <c r="R10" s="185">
        <f>B8/B8*100</f>
        <v>100</v>
      </c>
      <c r="S10" s="185">
        <f>C8/B8*100</f>
        <v>110.89941159988793</v>
      </c>
      <c r="T10" s="185">
        <f>D8/B8*100</f>
        <v>118.43653684505465</v>
      </c>
      <c r="U10" s="185">
        <f>E8/B8*100</f>
        <v>125.44130008405716</v>
      </c>
      <c r="V10" s="185">
        <f>F8/B8*100</f>
        <v>127.09442420846176</v>
      </c>
      <c r="W10" s="185">
        <f>G8/B8*100</f>
        <v>111.01148781171197</v>
      </c>
      <c r="X10" s="185">
        <f>H8/B8*100</f>
        <v>125.86158587839731</v>
      </c>
      <c r="Y10" s="185">
        <f>I8/B8*100</f>
        <v>139.98318856822641</v>
      </c>
      <c r="Z10" s="185">
        <f>J8/B8*100</f>
        <v>145.75511347716449</v>
      </c>
      <c r="AA10" s="185">
        <f>K8/B8*100</f>
        <v>149.64976183804987</v>
      </c>
      <c r="AB10" s="185">
        <f>L8/B8*100</f>
        <v>151.63911459792658</v>
      </c>
      <c r="AC10" s="185">
        <f>M8/B8*100</f>
        <v>152.33959092182684</v>
      </c>
      <c r="AE10" s="238"/>
    </row>
    <row r="11" spans="1:31" ht="41.45" customHeight="1" x14ac:dyDescent="0.25">
      <c r="A11" s="13" t="s">
        <v>31</v>
      </c>
      <c r="B11" s="8">
        <f>2961.71/10</f>
        <v>296.17099999999999</v>
      </c>
      <c r="C11" s="8">
        <f>3110.3/10</f>
        <v>311.03000000000003</v>
      </c>
      <c r="D11" s="8">
        <f>3754.5/10</f>
        <v>375.45</v>
      </c>
      <c r="E11" s="9">
        <f>5195.8/10</f>
        <v>519.58000000000004</v>
      </c>
      <c r="F11" s="9">
        <f>5795.3/10</f>
        <v>579.53</v>
      </c>
      <c r="G11" s="12">
        <v>650.29999999999995</v>
      </c>
      <c r="H11" s="12">
        <v>668.5</v>
      </c>
      <c r="I11" s="12">
        <v>775.7</v>
      </c>
      <c r="J11" s="103">
        <v>756</v>
      </c>
      <c r="K11" s="103">
        <v>723.5</v>
      </c>
      <c r="L11" s="103">
        <v>836.2</v>
      </c>
      <c r="M11" s="103">
        <v>749.6</v>
      </c>
      <c r="O11" s="238"/>
      <c r="AE11" s="238"/>
    </row>
    <row r="12" spans="1:31" ht="60" customHeight="1" x14ac:dyDescent="0.25">
      <c r="A12" s="13" t="s">
        <v>32</v>
      </c>
      <c r="B12" s="14">
        <v>505</v>
      </c>
      <c r="C12" s="14">
        <v>452.9</v>
      </c>
      <c r="D12" s="14">
        <v>720.2</v>
      </c>
      <c r="E12" s="11">
        <v>1799.5</v>
      </c>
      <c r="F12" s="11">
        <v>1469.8</v>
      </c>
      <c r="G12" s="15">
        <v>366.7</v>
      </c>
      <c r="H12" s="15">
        <v>509.2</v>
      </c>
      <c r="I12" s="15">
        <v>585.79999999999995</v>
      </c>
      <c r="J12" s="103">
        <v>715.4</v>
      </c>
      <c r="K12" s="103">
        <v>642.79999999999995</v>
      </c>
      <c r="L12" s="103">
        <v>856.9</v>
      </c>
      <c r="M12" s="103">
        <v>731.9</v>
      </c>
      <c r="O12" s="238"/>
      <c r="Q12" s="183" t="s">
        <v>33</v>
      </c>
      <c r="R12" s="261" t="s">
        <v>34</v>
      </c>
      <c r="S12" s="254"/>
      <c r="T12" s="255"/>
      <c r="U12" s="261" t="s">
        <v>35</v>
      </c>
      <c r="V12" s="254"/>
      <c r="W12" s="255"/>
      <c r="X12" s="261" t="s">
        <v>36</v>
      </c>
      <c r="Y12" s="254"/>
      <c r="Z12" s="255"/>
      <c r="AA12" s="261" t="s">
        <v>37</v>
      </c>
      <c r="AB12" s="254"/>
      <c r="AC12" s="255"/>
      <c r="AE12" s="238"/>
    </row>
    <row r="13" spans="1:31" ht="40.9" customHeight="1" x14ac:dyDescent="0.25">
      <c r="A13" s="13" t="s">
        <v>38</v>
      </c>
      <c r="B13" s="8">
        <v>1969.01</v>
      </c>
      <c r="C13" s="8">
        <v>3673.48</v>
      </c>
      <c r="D13" s="8">
        <v>4869.87</v>
      </c>
      <c r="E13" s="9">
        <v>5116.43</v>
      </c>
      <c r="F13" s="9">
        <f>66579.4/10</f>
        <v>6657.94</v>
      </c>
      <c r="G13" s="10">
        <v>7838</v>
      </c>
      <c r="H13" s="10">
        <v>9235.4</v>
      </c>
      <c r="I13" s="10">
        <v>11315.9</v>
      </c>
      <c r="J13" s="152">
        <v>14778.8</v>
      </c>
      <c r="K13" s="152">
        <v>16704.900000000001</v>
      </c>
      <c r="L13" s="152">
        <v>19616.5</v>
      </c>
      <c r="M13" s="152">
        <v>20331.8</v>
      </c>
      <c r="O13" s="238"/>
      <c r="Q13" s="184" t="s">
        <v>39</v>
      </c>
      <c r="R13" s="256">
        <f>M8-B8</f>
        <v>1868</v>
      </c>
      <c r="S13" s="254"/>
      <c r="T13" s="255"/>
      <c r="U13" s="253">
        <f>(M8/B8-1)*100</f>
        <v>52.339590921826854</v>
      </c>
      <c r="V13" s="254"/>
      <c r="W13" s="255"/>
      <c r="X13" s="253">
        <f>(M8/B8)^(1/11)*100</f>
        <v>103.90090828235283</v>
      </c>
      <c r="Y13" s="254"/>
      <c r="Z13" s="255"/>
      <c r="AA13" s="253">
        <f t="shared" ref="AA13:AA19" si="0">X13-100</f>
        <v>3.9009082823528303</v>
      </c>
      <c r="AB13" s="254"/>
      <c r="AC13" s="255"/>
      <c r="AE13" s="238"/>
    </row>
    <row r="14" spans="1:31" ht="41.45" customHeight="1" x14ac:dyDescent="0.25">
      <c r="A14" s="13" t="s">
        <v>40</v>
      </c>
      <c r="B14" s="8">
        <v>1460.65</v>
      </c>
      <c r="C14" s="8">
        <v>2835.35</v>
      </c>
      <c r="D14" s="8">
        <v>3599.32</v>
      </c>
      <c r="E14" s="9">
        <v>3695.45</v>
      </c>
      <c r="F14" s="9">
        <v>4717.3900000000003</v>
      </c>
      <c r="G14" s="10">
        <v>5509.7</v>
      </c>
      <c r="H14" s="10">
        <v>6376</v>
      </c>
      <c r="I14" s="10">
        <v>7975.6</v>
      </c>
      <c r="J14" s="152">
        <v>10642.2</v>
      </c>
      <c r="K14" s="152">
        <v>12088.9</v>
      </c>
      <c r="L14" s="152">
        <v>14453.8</v>
      </c>
      <c r="M14" s="152">
        <v>15173.7</v>
      </c>
      <c r="O14" s="238"/>
      <c r="Q14" s="184" t="s">
        <v>41</v>
      </c>
      <c r="R14" s="256">
        <f>M9-B9</f>
        <v>11595.87</v>
      </c>
      <c r="S14" s="254"/>
      <c r="T14" s="255"/>
      <c r="U14" s="253">
        <f>(M9/B9-1)*100</f>
        <v>1324.8940278555351</v>
      </c>
      <c r="V14" s="254"/>
      <c r="W14" s="255"/>
      <c r="X14" s="253">
        <f>(M9/B9)^(1/11)*100</f>
        <v>127.31785822764495</v>
      </c>
      <c r="Y14" s="254"/>
      <c r="Z14" s="255"/>
      <c r="AA14" s="253">
        <f t="shared" si="0"/>
        <v>27.317858227644948</v>
      </c>
      <c r="AB14" s="254"/>
      <c r="AC14" s="255"/>
      <c r="AE14" s="238"/>
    </row>
    <row r="15" spans="1:31" ht="39.75" customHeight="1" x14ac:dyDescent="0.25">
      <c r="A15" s="13" t="s">
        <v>42</v>
      </c>
      <c r="B15" s="16">
        <f>1882/10</f>
        <v>188.2</v>
      </c>
      <c r="C15" s="16">
        <f>3839.4/10</f>
        <v>383.94</v>
      </c>
      <c r="D15" s="16">
        <f>5057.1/10</f>
        <v>505.71000000000004</v>
      </c>
      <c r="E15" s="17">
        <f>5008/10</f>
        <v>500.8</v>
      </c>
      <c r="F15" s="17">
        <f>6341.1/10</f>
        <v>634.11</v>
      </c>
      <c r="G15" s="12">
        <v>997.4</v>
      </c>
      <c r="H15" s="18">
        <v>1105</v>
      </c>
      <c r="I15" s="18">
        <v>1451.2</v>
      </c>
      <c r="J15" s="152">
        <v>1956.7</v>
      </c>
      <c r="K15" s="152">
        <v>2666.7</v>
      </c>
      <c r="L15" s="152">
        <v>2550.3000000000002</v>
      </c>
      <c r="M15" s="152">
        <v>2265.1</v>
      </c>
      <c r="O15" s="238"/>
      <c r="Q15" s="184" t="s">
        <v>43</v>
      </c>
      <c r="R15" s="256">
        <f>M10-B10</f>
        <v>3.7</v>
      </c>
      <c r="S15" s="254"/>
      <c r="T15" s="255"/>
      <c r="U15" s="253">
        <f>(M10/B10-1)*100</f>
        <v>132.14285714285717</v>
      </c>
      <c r="V15" s="254"/>
      <c r="W15" s="255"/>
      <c r="X15" s="253">
        <f>(M10/B10)^(1/11)*100</f>
        <v>107.95691961087897</v>
      </c>
      <c r="Y15" s="254"/>
      <c r="Z15" s="255"/>
      <c r="AA15" s="253">
        <f t="shared" si="0"/>
        <v>7.9569196108789697</v>
      </c>
      <c r="AB15" s="254"/>
      <c r="AC15" s="255"/>
      <c r="AE15" s="238"/>
    </row>
    <row r="16" spans="1:31" ht="54" customHeight="1" x14ac:dyDescent="0.25">
      <c r="A16" s="13" t="s">
        <v>44</v>
      </c>
      <c r="B16" s="19">
        <v>19.5</v>
      </c>
      <c r="C16" s="19">
        <v>18.600000000000001</v>
      </c>
      <c r="D16" s="19">
        <v>20.399999999999999</v>
      </c>
      <c r="E16" s="20">
        <v>19.8</v>
      </c>
      <c r="F16" s="20">
        <v>17.8</v>
      </c>
      <c r="G16" s="12">
        <v>20.3</v>
      </c>
      <c r="H16" s="12"/>
      <c r="I16" s="12" t="s">
        <v>45</v>
      </c>
      <c r="J16" s="32"/>
      <c r="K16" s="32"/>
      <c r="L16" s="103"/>
      <c r="M16" s="103"/>
      <c r="O16" s="238"/>
      <c r="Q16" s="184" t="s">
        <v>46</v>
      </c>
      <c r="R16" s="256">
        <f>M13-B13</f>
        <v>18362.79</v>
      </c>
      <c r="S16" s="254"/>
      <c r="T16" s="255"/>
      <c r="U16" s="253">
        <f>(M13/B13-1)*100</f>
        <v>932.58998176748719</v>
      </c>
      <c r="V16" s="254"/>
      <c r="W16" s="255"/>
      <c r="X16" s="253">
        <f>(M13/B13)^(1/11)*100</f>
        <v>123.64463142114528</v>
      </c>
      <c r="Y16" s="254"/>
      <c r="Z16" s="255"/>
      <c r="AA16" s="253">
        <f t="shared" si="0"/>
        <v>23.644631421145277</v>
      </c>
      <c r="AB16" s="254"/>
      <c r="AC16" s="255"/>
      <c r="AE16" s="238"/>
    </row>
    <row r="17" spans="1:31" ht="44.45" customHeight="1" x14ac:dyDescent="0.25">
      <c r="A17" s="13" t="s">
        <v>47</v>
      </c>
      <c r="B17" s="19">
        <v>16.899999999999999</v>
      </c>
      <c r="C17" s="19">
        <v>14.1</v>
      </c>
      <c r="D17" s="19">
        <v>13.8</v>
      </c>
      <c r="E17" s="20">
        <v>16.100000000000001</v>
      </c>
      <c r="F17" s="20">
        <v>18.3</v>
      </c>
      <c r="G17" s="12">
        <v>18.600000000000001</v>
      </c>
      <c r="H17" s="12">
        <v>19.399999999999999</v>
      </c>
      <c r="I17" s="12">
        <v>18.7</v>
      </c>
      <c r="J17" s="103">
        <v>18.100000000000001</v>
      </c>
      <c r="K17" s="103">
        <v>18.7</v>
      </c>
      <c r="L17" s="103">
        <v>17.899999999999999</v>
      </c>
      <c r="M17" s="103">
        <v>16.7</v>
      </c>
      <c r="O17" s="238"/>
      <c r="Q17" s="184" t="s">
        <v>48</v>
      </c>
      <c r="R17" s="256">
        <f>M15-B15</f>
        <v>2076.9</v>
      </c>
      <c r="S17" s="254"/>
      <c r="T17" s="255"/>
      <c r="U17" s="253">
        <f>(M15/B15-1)*100</f>
        <v>1103.5600425079704</v>
      </c>
      <c r="V17" s="254"/>
      <c r="W17" s="255"/>
      <c r="X17" s="253">
        <f>(M15/B15)^(1/11)*100</f>
        <v>125.37886727052427</v>
      </c>
      <c r="Y17" s="254"/>
      <c r="Z17" s="255"/>
      <c r="AA17" s="253">
        <f t="shared" si="0"/>
        <v>25.378867270524267</v>
      </c>
      <c r="AB17" s="254"/>
      <c r="AC17" s="255"/>
      <c r="AE17" s="238"/>
    </row>
    <row r="18" spans="1:31" ht="67.5" customHeight="1" x14ac:dyDescent="0.25">
      <c r="A18" s="7" t="s">
        <v>49</v>
      </c>
      <c r="B18" s="21">
        <v>92026</v>
      </c>
      <c r="C18" s="21">
        <v>92649</v>
      </c>
      <c r="D18" s="21">
        <v>91658</v>
      </c>
      <c r="E18" s="22">
        <v>92221</v>
      </c>
      <c r="F18" s="22">
        <v>93276</v>
      </c>
      <c r="G18" s="23">
        <v>85405</v>
      </c>
      <c r="H18" s="23">
        <v>92206</v>
      </c>
      <c r="I18" s="23">
        <v>100655</v>
      </c>
      <c r="J18" s="104">
        <v>111316</v>
      </c>
      <c r="K18" s="104">
        <v>118778</v>
      </c>
      <c r="L18" s="104">
        <v>125279</v>
      </c>
      <c r="M18" s="104">
        <v>119779</v>
      </c>
      <c r="O18" s="238"/>
      <c r="Q18" s="184" t="s">
        <v>50</v>
      </c>
      <c r="R18" s="256">
        <f>M18-B18</f>
        <v>27753</v>
      </c>
      <c r="S18" s="254"/>
      <c r="T18" s="255"/>
      <c r="U18" s="253">
        <f>(M18/B18-1)*100</f>
        <v>30.157781496533588</v>
      </c>
      <c r="V18" s="254"/>
      <c r="W18" s="255"/>
      <c r="X18" s="253">
        <f>(M18/B18)^(1/11)*100</f>
        <v>102.42509516637665</v>
      </c>
      <c r="Y18" s="254"/>
      <c r="Z18" s="255"/>
      <c r="AA18" s="253">
        <f t="shared" si="0"/>
        <v>2.42509516637665</v>
      </c>
      <c r="AB18" s="254"/>
      <c r="AC18" s="255"/>
      <c r="AE18" s="238"/>
    </row>
    <row r="19" spans="1:31" ht="57.75" customHeight="1" x14ac:dyDescent="0.25">
      <c r="A19" s="24" t="s">
        <v>51</v>
      </c>
      <c r="B19" s="8">
        <f>2895/10</f>
        <v>289.5</v>
      </c>
      <c r="C19" s="8">
        <f>5458.6/10</f>
        <v>545.86</v>
      </c>
      <c r="D19" s="8">
        <f>7534.4/10</f>
        <v>753.43999999999994</v>
      </c>
      <c r="E19" s="9">
        <f>10144.9/10</f>
        <v>1014.49</v>
      </c>
      <c r="F19" s="9">
        <f>15352.7/10</f>
        <v>1535.27</v>
      </c>
      <c r="G19" s="10">
        <v>2010.4</v>
      </c>
      <c r="H19" s="10">
        <v>2328.4</v>
      </c>
      <c r="I19" s="10">
        <v>2804.4</v>
      </c>
      <c r="J19" s="152">
        <v>3144.1</v>
      </c>
      <c r="K19" s="152">
        <v>4119.8999999999996</v>
      </c>
      <c r="L19" s="152">
        <v>4709.3999999999996</v>
      </c>
      <c r="M19" s="152">
        <v>5042.5</v>
      </c>
      <c r="O19" s="238"/>
      <c r="Q19" s="184" t="s">
        <v>52</v>
      </c>
      <c r="R19" s="256">
        <f>M19-B19</f>
        <v>4753</v>
      </c>
      <c r="S19" s="254"/>
      <c r="T19" s="255"/>
      <c r="U19" s="253">
        <f>(M19/B19-1)*100</f>
        <v>1641.7962003454231</v>
      </c>
      <c r="V19" s="254"/>
      <c r="W19" s="255"/>
      <c r="X19" s="253">
        <f>(M19/B19)^(1/11)*100</f>
        <v>129.66355958679361</v>
      </c>
      <c r="Y19" s="254"/>
      <c r="Z19" s="255"/>
      <c r="AA19" s="253">
        <f t="shared" si="0"/>
        <v>29.66355958679361</v>
      </c>
      <c r="AB19" s="254"/>
      <c r="AC19" s="255"/>
      <c r="AE19" s="238"/>
    </row>
    <row r="20" spans="1:31" x14ac:dyDescent="0.25">
      <c r="A20" s="24"/>
      <c r="B20" s="8"/>
      <c r="C20" s="8"/>
      <c r="D20" s="8"/>
      <c r="E20" s="9"/>
      <c r="F20" s="9"/>
      <c r="G20" s="10"/>
      <c r="H20" s="10"/>
      <c r="I20" s="10"/>
      <c r="J20" s="162"/>
      <c r="K20" s="162"/>
      <c r="L20" s="163"/>
      <c r="M20" s="163"/>
      <c r="O20" s="238"/>
      <c r="AE20" s="238"/>
    </row>
    <row r="21" spans="1:31" ht="68.45" customHeight="1" x14ac:dyDescent="0.25">
      <c r="A21" s="24" t="s">
        <v>53</v>
      </c>
      <c r="B21" s="32"/>
      <c r="C21" s="164">
        <f t="shared" ref="C21:M21" si="1">C19/B19</f>
        <v>1.8855267702936098</v>
      </c>
      <c r="D21" s="164">
        <f t="shared" si="1"/>
        <v>1.3802806580441871</v>
      </c>
      <c r="E21" s="164">
        <f t="shared" si="1"/>
        <v>1.3464774899129328</v>
      </c>
      <c r="F21" s="164">
        <f t="shared" si="1"/>
        <v>1.5133416790702718</v>
      </c>
      <c r="G21" s="164">
        <f t="shared" si="1"/>
        <v>1.3094765090179579</v>
      </c>
      <c r="H21" s="164">
        <f t="shared" si="1"/>
        <v>1.1581774771189812</v>
      </c>
      <c r="I21" s="164">
        <f t="shared" si="1"/>
        <v>1.204432228139495</v>
      </c>
      <c r="J21" s="164">
        <f t="shared" si="1"/>
        <v>1.1211310797318499</v>
      </c>
      <c r="K21" s="164">
        <f t="shared" si="1"/>
        <v>1.3103590852708247</v>
      </c>
      <c r="L21" s="164">
        <f t="shared" si="1"/>
        <v>1.1430859972329426</v>
      </c>
      <c r="M21" s="164">
        <f t="shared" si="1"/>
        <v>1.0707308786681955</v>
      </c>
      <c r="O21" s="238"/>
      <c r="AE21" s="238"/>
    </row>
    <row r="22" spans="1:31" ht="51.6" customHeight="1" x14ac:dyDescent="0.25">
      <c r="A22" s="7" t="s">
        <v>49</v>
      </c>
      <c r="B22" s="32"/>
      <c r="C22" s="164">
        <f t="shared" ref="C22:M22" si="2">C18/B18</f>
        <v>1.0067698259187621</v>
      </c>
      <c r="D22" s="164">
        <f t="shared" si="2"/>
        <v>0.98930371617610546</v>
      </c>
      <c r="E22" s="164">
        <f t="shared" si="2"/>
        <v>1.0061423989177158</v>
      </c>
      <c r="F22" s="164">
        <f t="shared" si="2"/>
        <v>1.0114399106494183</v>
      </c>
      <c r="G22" s="164">
        <f t="shared" si="2"/>
        <v>0.9156160212702088</v>
      </c>
      <c r="H22" s="164">
        <f t="shared" si="2"/>
        <v>1.0796323400269305</v>
      </c>
      <c r="I22" s="164">
        <f t="shared" si="2"/>
        <v>1.0916317810120817</v>
      </c>
      <c r="J22" s="164">
        <f t="shared" si="2"/>
        <v>1.1059162485718543</v>
      </c>
      <c r="K22" s="164">
        <f t="shared" si="2"/>
        <v>1.0670343885874447</v>
      </c>
      <c r="L22" s="164">
        <f t="shared" si="2"/>
        <v>1.0547323578440453</v>
      </c>
      <c r="M22" s="164">
        <f t="shared" si="2"/>
        <v>0.95609798928790934</v>
      </c>
      <c r="O22" s="238"/>
      <c r="AE22" s="238"/>
    </row>
    <row r="23" spans="1:31" x14ac:dyDescent="0.25">
      <c r="O23" s="238"/>
      <c r="AE23" s="238"/>
    </row>
    <row r="24" spans="1:31" ht="6" customHeight="1" x14ac:dyDescent="0.25">
      <c r="A24" s="247"/>
      <c r="B24" s="238"/>
      <c r="C24" s="238"/>
      <c r="D24" s="238"/>
      <c r="E24" s="238"/>
      <c r="F24" s="238"/>
      <c r="G24" s="238"/>
      <c r="H24" s="238"/>
      <c r="I24" s="238"/>
      <c r="J24" s="238"/>
      <c r="K24" s="238"/>
      <c r="L24" s="238"/>
      <c r="M24" s="238"/>
      <c r="N24" s="238"/>
      <c r="O24" s="238"/>
      <c r="AE24" s="238"/>
    </row>
    <row r="25" spans="1:31" x14ac:dyDescent="0.25">
      <c r="O25" s="238"/>
      <c r="AE25" s="238"/>
    </row>
    <row r="26" spans="1:31" x14ac:dyDescent="0.25">
      <c r="O26" s="238"/>
      <c r="AE26" s="238"/>
    </row>
    <row r="27" spans="1:31" x14ac:dyDescent="0.25">
      <c r="O27" s="238"/>
      <c r="AE27" s="238"/>
    </row>
    <row r="28" spans="1:31" x14ac:dyDescent="0.25">
      <c r="O28" s="238"/>
      <c r="AE28" s="238"/>
    </row>
    <row r="29" spans="1:31" x14ac:dyDescent="0.25">
      <c r="O29" s="238"/>
      <c r="AE29" s="238"/>
    </row>
    <row r="30" spans="1:31" x14ac:dyDescent="0.25">
      <c r="O30" s="238"/>
      <c r="AE30" s="238"/>
    </row>
    <row r="31" spans="1:31" ht="32.1" customHeight="1" x14ac:dyDescent="0.25">
      <c r="O31" s="238"/>
      <c r="AE31" s="238"/>
    </row>
    <row r="32" spans="1:31" x14ac:dyDescent="0.25">
      <c r="O32" s="238"/>
      <c r="AE32" s="238"/>
    </row>
    <row r="33" spans="15:31" ht="50.1" customHeight="1" x14ac:dyDescent="0.25">
      <c r="O33" s="238"/>
      <c r="AE33" s="238"/>
    </row>
    <row r="34" spans="15:31" ht="30" customHeight="1" x14ac:dyDescent="0.25">
      <c r="O34" s="238"/>
      <c r="AE34" s="238"/>
    </row>
    <row r="35" spans="15:31" ht="30" customHeight="1" x14ac:dyDescent="0.25">
      <c r="O35" s="238"/>
      <c r="AE35" s="238"/>
    </row>
    <row r="36" spans="15:31" ht="30" customHeight="1" x14ac:dyDescent="0.25">
      <c r="O36" s="238"/>
      <c r="AE36" s="238"/>
    </row>
    <row r="37" spans="15:31" ht="30" customHeight="1" x14ac:dyDescent="0.25">
      <c r="O37" s="238"/>
      <c r="AE37" s="238"/>
    </row>
    <row r="38" spans="15:31" ht="30" customHeight="1" x14ac:dyDescent="0.25">
      <c r="O38" s="238"/>
      <c r="AE38" s="238"/>
    </row>
    <row r="39" spans="15:31" ht="30" customHeight="1" x14ac:dyDescent="0.25">
      <c r="O39" s="238"/>
      <c r="AE39" s="238"/>
    </row>
    <row r="40" spans="15:31" ht="30" customHeight="1" x14ac:dyDescent="0.25">
      <c r="O40" s="238"/>
      <c r="AE40" s="238"/>
    </row>
    <row r="41" spans="15:31" x14ac:dyDescent="0.25">
      <c r="O41" s="238"/>
      <c r="AE41" s="238"/>
    </row>
    <row r="42" spans="15:31" ht="6" customHeight="1" x14ac:dyDescent="0.25">
      <c r="O42" s="238"/>
      <c r="AE42" s="238"/>
    </row>
    <row r="43" spans="15:31" x14ac:dyDescent="0.25">
      <c r="O43" s="238"/>
      <c r="AE43" s="238"/>
    </row>
    <row r="44" spans="15:31" x14ac:dyDescent="0.25">
      <c r="O44" s="238"/>
      <c r="AE44" s="238"/>
    </row>
    <row r="45" spans="15:31" x14ac:dyDescent="0.25">
      <c r="O45" s="238"/>
      <c r="AE45" s="238"/>
    </row>
    <row r="46" spans="15:31" x14ac:dyDescent="0.25">
      <c r="O46" s="238"/>
      <c r="AE46" s="238"/>
    </row>
    <row r="47" spans="15:31" x14ac:dyDescent="0.25">
      <c r="O47" s="238"/>
      <c r="AE47" s="238"/>
    </row>
    <row r="48" spans="15:31" x14ac:dyDescent="0.25">
      <c r="O48" s="238"/>
      <c r="AE48" s="238"/>
    </row>
    <row r="49" spans="15:31" x14ac:dyDescent="0.25">
      <c r="O49" s="238"/>
      <c r="AE49" s="238"/>
    </row>
    <row r="50" spans="15:31" ht="8.25" customHeight="1" x14ac:dyDescent="0.25">
      <c r="O50" s="238"/>
      <c r="P50" s="257"/>
      <c r="Q50" s="238"/>
      <c r="R50" s="238"/>
      <c r="S50" s="238"/>
      <c r="T50" s="238"/>
      <c r="U50" s="238"/>
      <c r="V50" s="238"/>
      <c r="W50" s="238"/>
      <c r="X50" s="238"/>
      <c r="Y50" s="238"/>
      <c r="Z50" s="238"/>
      <c r="AA50" s="238"/>
      <c r="AB50" s="238"/>
      <c r="AC50" s="238"/>
      <c r="AD50" s="238"/>
      <c r="AE50" s="238"/>
    </row>
  </sheetData>
  <mergeCells count="40">
    <mergeCell ref="A24:N24"/>
    <mergeCell ref="U18:W18"/>
    <mergeCell ref="R17:T17"/>
    <mergeCell ref="X14:Z14"/>
    <mergeCell ref="X19:Z19"/>
    <mergeCell ref="U16:W16"/>
    <mergeCell ref="R15:T15"/>
    <mergeCell ref="X18:Z18"/>
    <mergeCell ref="AE1:AE50"/>
    <mergeCell ref="U19:W19"/>
    <mergeCell ref="AA14:AC14"/>
    <mergeCell ref="R18:T18"/>
    <mergeCell ref="R14:T14"/>
    <mergeCell ref="AA17:AC17"/>
    <mergeCell ref="X12:Z12"/>
    <mergeCell ref="Q5:AC7"/>
    <mergeCell ref="AA19:AC19"/>
    <mergeCell ref="U15:W15"/>
    <mergeCell ref="R19:T19"/>
    <mergeCell ref="R12:T12"/>
    <mergeCell ref="U13:W13"/>
    <mergeCell ref="X15:Z15"/>
    <mergeCell ref="U12:W12"/>
    <mergeCell ref="AA16:AC16"/>
    <mergeCell ref="A4:N4"/>
    <mergeCell ref="AA13:AC13"/>
    <mergeCell ref="X17:Z17"/>
    <mergeCell ref="R13:T13"/>
    <mergeCell ref="P50:AD50"/>
    <mergeCell ref="A6:I6"/>
    <mergeCell ref="X13:Z13"/>
    <mergeCell ref="Q3:AC4"/>
    <mergeCell ref="U17:W17"/>
    <mergeCell ref="R16:T16"/>
    <mergeCell ref="X16:Z16"/>
    <mergeCell ref="AA15:AC15"/>
    <mergeCell ref="AA18:AC18"/>
    <mergeCell ref="AA12:AC12"/>
    <mergeCell ref="O1:O50"/>
    <mergeCell ref="U14:W14"/>
  </mergeCells>
  <conditionalFormatting sqref="B8:F8">
    <cfRule type="colorScale" priority="24">
      <colorScale>
        <cfvo type="min"/>
        <cfvo type="percentile" val="50"/>
        <cfvo type="max"/>
        <color rgb="FFF8696B"/>
        <color rgb="FFFFEB84"/>
        <color rgb="FF63BE7B"/>
      </colorScale>
    </cfRule>
  </conditionalFormatting>
  <conditionalFormatting sqref="B9:F9">
    <cfRule type="colorScale" priority="23">
      <colorScale>
        <cfvo type="min"/>
        <cfvo type="percentile" val="50"/>
        <cfvo type="max"/>
        <color rgb="FFF8696B"/>
        <color rgb="FFFFEB84"/>
        <color rgb="FF63BE7B"/>
      </colorScale>
    </cfRule>
  </conditionalFormatting>
  <conditionalFormatting sqref="B10:F10">
    <cfRule type="colorScale" priority="22">
      <colorScale>
        <cfvo type="min"/>
        <cfvo type="percentile" val="50"/>
        <cfvo type="max"/>
        <color rgb="FFF8696B"/>
        <color rgb="FFFFEB84"/>
        <color rgb="FF63BE7B"/>
      </colorScale>
    </cfRule>
  </conditionalFormatting>
  <conditionalFormatting sqref="B11:F11">
    <cfRule type="colorScale" priority="21">
      <colorScale>
        <cfvo type="min"/>
        <cfvo type="percentile" val="50"/>
        <cfvo type="max"/>
        <color rgb="FFF8696B"/>
        <color rgb="FFFFEB84"/>
        <color rgb="FF63BE7B"/>
      </colorScale>
    </cfRule>
  </conditionalFormatting>
  <conditionalFormatting sqref="B12:F12">
    <cfRule type="colorScale" priority="20">
      <colorScale>
        <cfvo type="min"/>
        <cfvo type="percentile" val="50"/>
        <cfvo type="max"/>
        <color rgb="FFF8696B"/>
        <color rgb="FFFFEB84"/>
        <color rgb="FF63BE7B"/>
      </colorScale>
    </cfRule>
  </conditionalFormatting>
  <conditionalFormatting sqref="B13:F13">
    <cfRule type="colorScale" priority="19">
      <colorScale>
        <cfvo type="min"/>
        <cfvo type="percentile" val="50"/>
        <cfvo type="max"/>
        <color rgb="FFF8696B"/>
        <color rgb="FFFFEB84"/>
        <color rgb="FF63BE7B"/>
      </colorScale>
    </cfRule>
  </conditionalFormatting>
  <conditionalFormatting sqref="B14:F14">
    <cfRule type="colorScale" priority="18">
      <colorScale>
        <cfvo type="min"/>
        <cfvo type="percentile" val="50"/>
        <cfvo type="max"/>
        <color rgb="FFF8696B"/>
        <color rgb="FFFFEB84"/>
        <color rgb="FF63BE7B"/>
      </colorScale>
    </cfRule>
  </conditionalFormatting>
  <conditionalFormatting sqref="B15:F15">
    <cfRule type="colorScale" priority="17">
      <colorScale>
        <cfvo type="min"/>
        <cfvo type="percentile" val="50"/>
        <cfvo type="max"/>
        <color rgb="FFF8696B"/>
        <color rgb="FFFFEB84"/>
        <color rgb="FF63BE7B"/>
      </colorScale>
    </cfRule>
  </conditionalFormatting>
  <conditionalFormatting sqref="B16:F16">
    <cfRule type="colorScale" priority="16">
      <colorScale>
        <cfvo type="min"/>
        <cfvo type="percentile" val="50"/>
        <cfvo type="max"/>
        <color rgb="FFF8696B"/>
        <color rgb="FFFFEB84"/>
        <color rgb="FF63BE7B"/>
      </colorScale>
    </cfRule>
  </conditionalFormatting>
  <conditionalFormatting sqref="B17:F17">
    <cfRule type="colorScale" priority="15">
      <colorScale>
        <cfvo type="min"/>
        <cfvo type="percentile" val="50"/>
        <cfvo type="max"/>
        <color rgb="FFF8696B"/>
        <color rgb="FFFFEB84"/>
        <color rgb="FF63BE7B"/>
      </colorScale>
    </cfRule>
  </conditionalFormatting>
  <conditionalFormatting sqref="B18:F18">
    <cfRule type="colorScale" priority="14">
      <colorScale>
        <cfvo type="min"/>
        <cfvo type="percentile" val="50"/>
        <cfvo type="max"/>
        <color rgb="FFF8696B"/>
        <color rgb="FFFFEB84"/>
        <color rgb="FF63BE7B"/>
      </colorScale>
    </cfRule>
  </conditionalFormatting>
  <conditionalFormatting sqref="B19:F19">
    <cfRule type="colorScale" priority="13">
      <colorScale>
        <cfvo type="min"/>
        <cfvo type="percentile" val="50"/>
        <cfvo type="max"/>
        <color rgb="FFF8696B"/>
        <color rgb="FFFFEB84"/>
        <color rgb="FF63BE7B"/>
      </colorScale>
    </cfRule>
  </conditionalFormatting>
  <conditionalFormatting sqref="B8:I8">
    <cfRule type="colorScale" priority="11">
      <colorScale>
        <cfvo type="min"/>
        <cfvo type="percentile" val="50"/>
        <cfvo type="max"/>
        <color rgb="FFF8696B"/>
        <color rgb="FFFFEB84"/>
        <color rgb="FF63BE7B"/>
      </colorScale>
    </cfRule>
  </conditionalFormatting>
  <conditionalFormatting sqref="B9:I9">
    <cfRule type="colorScale" priority="10">
      <colorScale>
        <cfvo type="min"/>
        <cfvo type="percentile" val="50"/>
        <cfvo type="max"/>
        <color rgb="FFF8696B"/>
        <color rgb="FFFFEB84"/>
        <color rgb="FF63BE7B"/>
      </colorScale>
    </cfRule>
  </conditionalFormatting>
  <conditionalFormatting sqref="B10:I10">
    <cfRule type="colorScale" priority="9">
      <colorScale>
        <cfvo type="min"/>
        <cfvo type="percentile" val="50"/>
        <cfvo type="max"/>
        <color rgb="FFF8696B"/>
        <color rgb="FFFFEB84"/>
        <color rgb="FF63BE7B"/>
      </colorScale>
    </cfRule>
  </conditionalFormatting>
  <conditionalFormatting sqref="B11:I11">
    <cfRule type="colorScale" priority="8">
      <colorScale>
        <cfvo type="min"/>
        <cfvo type="percentile" val="50"/>
        <cfvo type="max"/>
        <color rgb="FFF8696B"/>
        <color rgb="FFFFEB84"/>
        <color rgb="FF63BE7B"/>
      </colorScale>
    </cfRule>
  </conditionalFormatting>
  <conditionalFormatting sqref="B12:I12">
    <cfRule type="colorScale" priority="7">
      <colorScale>
        <cfvo type="min"/>
        <cfvo type="percentile" val="50"/>
        <cfvo type="max"/>
        <color rgb="FFF8696B"/>
        <color rgb="FFFFEB84"/>
        <color rgb="FF63BE7B"/>
      </colorScale>
    </cfRule>
  </conditionalFormatting>
  <conditionalFormatting sqref="B13:I13">
    <cfRule type="colorScale" priority="6">
      <colorScale>
        <cfvo type="min"/>
        <cfvo type="percentile" val="50"/>
        <cfvo type="max"/>
        <color rgb="FFF8696B"/>
        <color rgb="FFFFEB84"/>
        <color rgb="FF63BE7B"/>
      </colorScale>
    </cfRule>
  </conditionalFormatting>
  <conditionalFormatting sqref="B14:I14">
    <cfRule type="colorScale" priority="1">
      <colorScale>
        <cfvo type="min"/>
        <cfvo type="percentile" val="50"/>
        <cfvo type="max"/>
        <color rgb="FFF8696B"/>
        <color rgb="FFFFEB84"/>
        <color rgb="FF63BE7B"/>
      </colorScale>
    </cfRule>
  </conditionalFormatting>
  <conditionalFormatting sqref="B15:I15">
    <cfRule type="colorScale" priority="2">
      <colorScale>
        <cfvo type="min"/>
        <cfvo type="percentile" val="50"/>
        <cfvo type="max"/>
        <color rgb="FFF8696B"/>
        <color rgb="FFFFEB84"/>
        <color rgb="FF63BE7B"/>
      </colorScale>
    </cfRule>
  </conditionalFormatting>
  <conditionalFormatting sqref="B16:I16">
    <cfRule type="colorScale" priority="3">
      <colorScale>
        <cfvo type="min"/>
        <cfvo type="percentile" val="50"/>
        <cfvo type="max"/>
        <color rgb="FFF8696B"/>
        <color rgb="FFFFEB84"/>
        <color rgb="FF63BE7B"/>
      </colorScale>
    </cfRule>
  </conditionalFormatting>
  <conditionalFormatting sqref="B17:I17">
    <cfRule type="colorScale" priority="5">
      <colorScale>
        <cfvo type="min"/>
        <cfvo type="percentile" val="50"/>
        <cfvo type="max"/>
        <color rgb="FFF8696B"/>
        <color rgb="FFFFEB84"/>
        <color rgb="FF63BE7B"/>
      </colorScale>
    </cfRule>
  </conditionalFormatting>
  <conditionalFormatting sqref="B18:I18">
    <cfRule type="colorScale" priority="4">
      <colorScale>
        <cfvo type="min"/>
        <cfvo type="percentile" val="50"/>
        <cfvo type="max"/>
        <color rgb="FFF8696B"/>
        <color rgb="FFFFEB84"/>
        <color rgb="FF63BE7B"/>
      </colorScale>
    </cfRule>
  </conditionalFormatting>
  <conditionalFormatting sqref="B19:I19">
    <cfRule type="colorScale" priority="12">
      <colorScale>
        <cfvo type="min"/>
        <cfvo type="percentile" val="50"/>
        <cfvo type="max"/>
        <color rgb="FFF8696B"/>
        <color rgb="FFFFEB84"/>
        <color rgb="FF63BE7B"/>
      </colorScale>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54"/>
  <sheetViews>
    <sheetView showGridLines="0" zoomScaleNormal="100" workbookViewId="0"/>
  </sheetViews>
  <sheetFormatPr defaultRowHeight="15" x14ac:dyDescent="0.25"/>
  <cols>
    <col min="1" max="1" width="21.42578125" customWidth="1"/>
    <col min="2" max="8" width="11" customWidth="1"/>
    <col min="9" max="9" width="21.5703125" customWidth="1"/>
    <col min="10" max="15" width="11" customWidth="1"/>
    <col min="17" max="17" width="1.7109375" customWidth="1"/>
  </cols>
  <sheetData>
    <row r="1" spans="1:17" x14ac:dyDescent="0.25">
      <c r="Q1" s="257"/>
    </row>
    <row r="2" spans="1:17" x14ac:dyDescent="0.25">
      <c r="Q2" s="238"/>
    </row>
    <row r="3" spans="1:17" x14ac:dyDescent="0.25">
      <c r="Q3" s="238"/>
    </row>
    <row r="4" spans="1:17" ht="8.25" customHeight="1" x14ac:dyDescent="0.25">
      <c r="A4" s="257"/>
      <c r="B4" s="238"/>
      <c r="C4" s="238"/>
      <c r="D4" s="238"/>
      <c r="E4" s="238"/>
      <c r="F4" s="238"/>
      <c r="G4" s="238"/>
      <c r="H4" s="238"/>
      <c r="I4" s="238"/>
      <c r="J4" s="238"/>
      <c r="K4" s="238"/>
      <c r="L4" s="238"/>
      <c r="M4" s="238"/>
      <c r="N4" s="238"/>
      <c r="O4" s="238"/>
      <c r="P4" s="238"/>
      <c r="Q4" s="238"/>
    </row>
    <row r="5" spans="1:17" x14ac:dyDescent="0.25">
      <c r="Q5" s="238"/>
    </row>
    <row r="6" spans="1:17" ht="15.75" customHeight="1" x14ac:dyDescent="0.25">
      <c r="A6" s="178" t="s">
        <v>54</v>
      </c>
      <c r="I6" s="178" t="s">
        <v>39</v>
      </c>
      <c r="Q6" s="238"/>
    </row>
    <row r="7" spans="1:17" x14ac:dyDescent="0.25">
      <c r="B7" s="173">
        <v>2019</v>
      </c>
      <c r="C7" s="173">
        <v>2020</v>
      </c>
      <c r="D7" s="173">
        <v>2021</v>
      </c>
      <c r="E7" s="173">
        <v>2022</v>
      </c>
      <c r="F7" s="173">
        <v>2023</v>
      </c>
      <c r="G7" s="173">
        <v>2024</v>
      </c>
      <c r="J7" s="173">
        <v>2019</v>
      </c>
      <c r="K7" s="173">
        <v>2020</v>
      </c>
      <c r="L7" s="173">
        <v>2021</v>
      </c>
      <c r="M7" s="173">
        <v>2022</v>
      </c>
      <c r="N7" s="173">
        <v>2023</v>
      </c>
      <c r="O7" s="173">
        <v>2024</v>
      </c>
      <c r="Q7" s="238"/>
    </row>
    <row r="8" spans="1:17" x14ac:dyDescent="0.25">
      <c r="A8" s="174" t="s">
        <v>55</v>
      </c>
      <c r="B8" s="176">
        <v>8725.2999999999993</v>
      </c>
      <c r="C8" s="176">
        <v>10930.5</v>
      </c>
      <c r="D8" s="176">
        <v>13258.8</v>
      </c>
      <c r="E8" s="176">
        <v>12471.1</v>
      </c>
      <c r="F8" s="176">
        <v>11845.9</v>
      </c>
      <c r="G8" s="176">
        <v>13438.9</v>
      </c>
      <c r="I8" s="174" t="s">
        <v>55</v>
      </c>
      <c r="J8" s="179">
        <v>5202</v>
      </c>
      <c r="K8" s="179">
        <v>5341</v>
      </c>
      <c r="L8" s="179">
        <v>5412</v>
      </c>
      <c r="M8" s="179">
        <v>5437</v>
      </c>
      <c r="N8" s="179">
        <v>5415</v>
      </c>
      <c r="O8" s="179">
        <v>5462</v>
      </c>
      <c r="Q8" s="238"/>
    </row>
    <row r="9" spans="1:17" x14ac:dyDescent="0.25">
      <c r="A9" s="174" t="s">
        <v>56</v>
      </c>
      <c r="B9" s="176">
        <v>408</v>
      </c>
      <c r="C9" s="176">
        <v>478.6</v>
      </c>
      <c r="D9" s="176">
        <v>567</v>
      </c>
      <c r="E9" s="176">
        <v>588.79999999999995</v>
      </c>
      <c r="F9" s="176">
        <v>607.4</v>
      </c>
      <c r="G9" s="176">
        <v>666.6</v>
      </c>
      <c r="I9" s="174" t="s">
        <v>56</v>
      </c>
      <c r="J9" s="179">
        <v>260</v>
      </c>
      <c r="K9" s="179">
        <v>262</v>
      </c>
      <c r="L9" s="179">
        <v>264</v>
      </c>
      <c r="M9" s="179">
        <v>263</v>
      </c>
      <c r="N9" s="179">
        <v>252</v>
      </c>
      <c r="O9" s="179">
        <v>249</v>
      </c>
      <c r="Q9" s="238"/>
    </row>
    <row r="10" spans="1:17" x14ac:dyDescent="0.25">
      <c r="A10" s="174" t="s">
        <v>57</v>
      </c>
      <c r="B10" s="176">
        <v>329</v>
      </c>
      <c r="C10" s="176">
        <v>394.7</v>
      </c>
      <c r="D10" s="176">
        <v>483.1</v>
      </c>
      <c r="E10" s="176">
        <v>541.79999999999995</v>
      </c>
      <c r="F10" s="176">
        <v>626.5</v>
      </c>
      <c r="G10" s="176">
        <v>696.4</v>
      </c>
      <c r="I10" s="174" t="s">
        <v>57</v>
      </c>
      <c r="J10" s="179">
        <v>211</v>
      </c>
      <c r="K10" s="179">
        <v>214</v>
      </c>
      <c r="L10" s="179">
        <v>214</v>
      </c>
      <c r="M10" s="179">
        <v>210</v>
      </c>
      <c r="N10" s="179">
        <v>229</v>
      </c>
      <c r="O10" s="179">
        <v>233</v>
      </c>
      <c r="Q10" s="238"/>
    </row>
    <row r="11" spans="1:17" x14ac:dyDescent="0.25">
      <c r="A11" s="174" t="s">
        <v>58</v>
      </c>
      <c r="B11" s="176">
        <v>414</v>
      </c>
      <c r="C11" s="176">
        <v>470.2</v>
      </c>
      <c r="D11" s="176">
        <v>573.79999999999995</v>
      </c>
      <c r="E11" s="176">
        <v>599.29999999999995</v>
      </c>
      <c r="F11" s="176">
        <v>580.20000000000005</v>
      </c>
      <c r="G11" s="176">
        <v>612.20000000000005</v>
      </c>
      <c r="I11" s="174" t="s">
        <v>58</v>
      </c>
      <c r="J11" s="179">
        <v>286</v>
      </c>
      <c r="K11" s="179">
        <v>293</v>
      </c>
      <c r="L11" s="179">
        <v>286</v>
      </c>
      <c r="M11" s="179">
        <v>285</v>
      </c>
      <c r="N11" s="179">
        <v>288</v>
      </c>
      <c r="O11" s="179">
        <v>293</v>
      </c>
      <c r="Q11" s="238"/>
    </row>
    <row r="12" spans="1:17" x14ac:dyDescent="0.25">
      <c r="A12" s="174" t="s">
        <v>59</v>
      </c>
      <c r="B12" s="176">
        <v>331.2</v>
      </c>
      <c r="C12" s="176">
        <v>389.6</v>
      </c>
      <c r="D12" s="176">
        <v>474.8</v>
      </c>
      <c r="E12" s="176">
        <v>507.7</v>
      </c>
      <c r="F12" s="176">
        <v>490.3</v>
      </c>
      <c r="G12" s="176">
        <v>542.5</v>
      </c>
      <c r="I12" s="174" t="s">
        <v>59</v>
      </c>
      <c r="J12" s="179">
        <v>227</v>
      </c>
      <c r="K12" s="179">
        <v>232</v>
      </c>
      <c r="L12" s="179">
        <v>245</v>
      </c>
      <c r="M12" s="179">
        <v>249</v>
      </c>
      <c r="N12" s="179">
        <v>233</v>
      </c>
      <c r="O12" s="179">
        <v>230</v>
      </c>
      <c r="Q12" s="238"/>
    </row>
    <row r="13" spans="1:17" x14ac:dyDescent="0.25">
      <c r="A13" s="174" t="s">
        <v>60</v>
      </c>
      <c r="B13" s="176">
        <v>6629.2</v>
      </c>
      <c r="C13" s="176">
        <v>8556.7000000000007</v>
      </c>
      <c r="D13" s="176">
        <v>10288.799999999999</v>
      </c>
      <c r="E13" s="176">
        <v>9356.6</v>
      </c>
      <c r="F13" s="176">
        <v>8591.2999999999993</v>
      </c>
      <c r="G13" s="176">
        <v>9814.7000000000007</v>
      </c>
      <c r="I13" s="174" t="s">
        <v>60</v>
      </c>
      <c r="J13" s="179">
        <v>3587</v>
      </c>
      <c r="K13" s="179">
        <v>3721</v>
      </c>
      <c r="L13" s="179">
        <v>3767</v>
      </c>
      <c r="M13" s="179">
        <v>3773</v>
      </c>
      <c r="N13" s="179">
        <v>3755</v>
      </c>
      <c r="O13" s="179">
        <v>3788</v>
      </c>
      <c r="Q13" s="238"/>
    </row>
    <row r="14" spans="1:17" x14ac:dyDescent="0.25">
      <c r="A14" s="174" t="s">
        <v>61</v>
      </c>
      <c r="B14" s="176">
        <v>345.9</v>
      </c>
      <c r="C14" s="176">
        <v>335.5</v>
      </c>
      <c r="D14" s="176">
        <v>515.20000000000005</v>
      </c>
      <c r="E14" s="176">
        <v>498.5</v>
      </c>
      <c r="F14" s="176">
        <v>558.20000000000005</v>
      </c>
      <c r="G14" s="176">
        <v>683.4</v>
      </c>
      <c r="I14" s="174" t="s">
        <v>61</v>
      </c>
      <c r="J14" s="179">
        <v>438</v>
      </c>
      <c r="K14" s="179">
        <v>440</v>
      </c>
      <c r="L14" s="179">
        <v>457</v>
      </c>
      <c r="M14" s="179">
        <v>468</v>
      </c>
      <c r="N14" s="179">
        <v>476</v>
      </c>
      <c r="O14" s="179">
        <v>489</v>
      </c>
      <c r="Q14" s="238"/>
    </row>
    <row r="15" spans="1:17" x14ac:dyDescent="0.25">
      <c r="A15" s="174" t="s">
        <v>62</v>
      </c>
      <c r="B15" s="176">
        <v>275.89999999999998</v>
      </c>
      <c r="C15" s="176">
        <v>303.7</v>
      </c>
      <c r="D15" s="176">
        <v>356.1</v>
      </c>
      <c r="E15" s="176">
        <v>378.4</v>
      </c>
      <c r="F15" s="176">
        <v>392</v>
      </c>
      <c r="G15" s="176">
        <v>423.1</v>
      </c>
      <c r="I15" s="174" t="s">
        <v>62</v>
      </c>
      <c r="J15" s="179">
        <v>193</v>
      </c>
      <c r="K15" s="179">
        <v>179</v>
      </c>
      <c r="L15" s="179">
        <v>179</v>
      </c>
      <c r="M15" s="179">
        <v>189</v>
      </c>
      <c r="N15" s="179">
        <v>182</v>
      </c>
      <c r="O15" s="179">
        <v>180</v>
      </c>
      <c r="Q15" s="238"/>
    </row>
    <row r="16" spans="1:17" x14ac:dyDescent="0.25">
      <c r="Q16" s="238"/>
    </row>
    <row r="17" spans="1:17" ht="15.75" customHeight="1" x14ac:dyDescent="0.25">
      <c r="A17" s="178" t="s">
        <v>52</v>
      </c>
      <c r="I17" s="178" t="s">
        <v>50</v>
      </c>
      <c r="Q17" s="238"/>
    </row>
    <row r="18" spans="1:17" x14ac:dyDescent="0.25">
      <c r="B18" s="173">
        <v>2019</v>
      </c>
      <c r="C18" s="173">
        <v>2020</v>
      </c>
      <c r="D18" s="173">
        <v>2021</v>
      </c>
      <c r="E18" s="173">
        <v>2022</v>
      </c>
      <c r="F18" s="173">
        <v>2023</v>
      </c>
      <c r="G18" s="173">
        <v>2024</v>
      </c>
      <c r="J18" s="173">
        <v>2019</v>
      </c>
      <c r="K18" s="173">
        <v>2020</v>
      </c>
      <c r="L18" s="173">
        <v>2021</v>
      </c>
      <c r="M18" s="173">
        <v>2022</v>
      </c>
      <c r="N18" s="173">
        <v>2023</v>
      </c>
      <c r="O18" s="173">
        <v>2024</v>
      </c>
      <c r="Q18" s="238"/>
    </row>
    <row r="19" spans="1:17" x14ac:dyDescent="0.25">
      <c r="A19" s="174" t="s">
        <v>55</v>
      </c>
      <c r="B19" s="176">
        <v>3144.1</v>
      </c>
      <c r="C19" s="176">
        <v>4119.8999999999996</v>
      </c>
      <c r="D19" s="176">
        <v>4709.3999999999996</v>
      </c>
      <c r="E19" s="176">
        <v>5042.5</v>
      </c>
      <c r="F19" s="176">
        <v>5314.6</v>
      </c>
      <c r="G19" s="176">
        <v>5661.8</v>
      </c>
      <c r="I19" s="174" t="s">
        <v>55</v>
      </c>
      <c r="J19" s="179">
        <v>111316</v>
      </c>
      <c r="K19" s="179">
        <v>118778</v>
      </c>
      <c r="L19" s="179">
        <v>125279</v>
      </c>
      <c r="M19" s="179">
        <v>119779</v>
      </c>
      <c r="N19" s="179">
        <v>105312</v>
      </c>
      <c r="O19" s="179">
        <v>104381</v>
      </c>
      <c r="Q19" s="238"/>
    </row>
    <row r="20" spans="1:17" x14ac:dyDescent="0.25">
      <c r="A20" s="174" t="s">
        <v>56</v>
      </c>
      <c r="B20" s="176">
        <v>1801.7</v>
      </c>
      <c r="C20" s="176">
        <v>2424.4</v>
      </c>
      <c r="D20" s="176">
        <v>2881.8</v>
      </c>
      <c r="E20" s="176">
        <v>3279.9</v>
      </c>
      <c r="F20" s="176">
        <v>3435.4</v>
      </c>
      <c r="G20" s="176">
        <v>3665.5</v>
      </c>
      <c r="I20" s="174" t="s">
        <v>56</v>
      </c>
      <c r="J20" s="179">
        <v>5292</v>
      </c>
      <c r="K20" s="179">
        <v>5200</v>
      </c>
      <c r="L20" s="179">
        <v>5247</v>
      </c>
      <c r="M20" s="179">
        <v>5152</v>
      </c>
      <c r="N20" s="179">
        <v>4661</v>
      </c>
      <c r="O20" s="179">
        <v>4360</v>
      </c>
      <c r="Q20" s="238"/>
    </row>
    <row r="21" spans="1:17" x14ac:dyDescent="0.25">
      <c r="A21" s="174" t="s">
        <v>57</v>
      </c>
      <c r="B21" s="176">
        <v>1432.9</v>
      </c>
      <c r="C21" s="176">
        <v>1878.2</v>
      </c>
      <c r="D21" s="176">
        <v>2345.5</v>
      </c>
      <c r="E21" s="176">
        <v>2774.6</v>
      </c>
      <c r="F21" s="176">
        <v>3001.5</v>
      </c>
      <c r="G21" s="176">
        <v>3136.8</v>
      </c>
      <c r="I21" s="174" t="s">
        <v>57</v>
      </c>
      <c r="J21" s="179">
        <v>6285</v>
      </c>
      <c r="K21" s="179">
        <v>6598</v>
      </c>
      <c r="L21" s="179">
        <v>7669</v>
      </c>
      <c r="M21" s="179">
        <v>7302</v>
      </c>
      <c r="N21" s="179">
        <v>6872</v>
      </c>
      <c r="O21" s="179">
        <v>6751</v>
      </c>
      <c r="Q21" s="238"/>
    </row>
    <row r="22" spans="1:17" x14ac:dyDescent="0.25">
      <c r="A22" s="174" t="s">
        <v>58</v>
      </c>
      <c r="B22" s="176">
        <v>1930.4</v>
      </c>
      <c r="C22" s="176">
        <v>2476.8000000000002</v>
      </c>
      <c r="D22" s="176">
        <v>2998.3</v>
      </c>
      <c r="E22" s="176">
        <v>3524.1</v>
      </c>
      <c r="F22" s="176">
        <v>3708.3</v>
      </c>
      <c r="G22" s="176">
        <v>3968.9</v>
      </c>
      <c r="I22" s="174" t="s">
        <v>58</v>
      </c>
      <c r="J22" s="179">
        <v>6088</v>
      </c>
      <c r="K22" s="179">
        <v>6158</v>
      </c>
      <c r="L22" s="179">
        <v>6501</v>
      </c>
      <c r="M22" s="179">
        <v>6149</v>
      </c>
      <c r="N22" s="179">
        <v>5257</v>
      </c>
      <c r="O22" s="179">
        <v>5025</v>
      </c>
      <c r="Q22" s="238"/>
    </row>
    <row r="23" spans="1:17" x14ac:dyDescent="0.25">
      <c r="A23" s="174" t="s">
        <v>59</v>
      </c>
      <c r="B23" s="176">
        <v>1905.9</v>
      </c>
      <c r="C23" s="176">
        <v>2491.8000000000002</v>
      </c>
      <c r="D23" s="176">
        <v>2927.6</v>
      </c>
      <c r="E23" s="176">
        <v>3516.7</v>
      </c>
      <c r="F23" s="176">
        <v>3823.6</v>
      </c>
      <c r="G23" s="176">
        <v>3956.2</v>
      </c>
      <c r="I23" s="174" t="s">
        <v>59</v>
      </c>
      <c r="J23" s="179">
        <v>4591</v>
      </c>
      <c r="K23" s="179">
        <v>4766</v>
      </c>
      <c r="L23" s="179">
        <v>5014</v>
      </c>
      <c r="M23" s="179">
        <v>4925</v>
      </c>
      <c r="N23" s="179">
        <v>4479</v>
      </c>
      <c r="O23" s="179">
        <v>4335</v>
      </c>
      <c r="Q23" s="238"/>
    </row>
    <row r="24" spans="1:17" x14ac:dyDescent="0.25">
      <c r="A24" s="174" t="s">
        <v>60</v>
      </c>
      <c r="B24" s="176">
        <v>3685.7</v>
      </c>
      <c r="C24" s="176">
        <v>4790.8</v>
      </c>
      <c r="D24" s="176">
        <v>5411.2</v>
      </c>
      <c r="E24" s="176">
        <v>5736.1</v>
      </c>
      <c r="F24" s="176">
        <v>6079.4</v>
      </c>
      <c r="G24" s="176">
        <v>6454.7</v>
      </c>
      <c r="I24" s="174" t="s">
        <v>60</v>
      </c>
      <c r="J24" s="179">
        <v>80046</v>
      </c>
      <c r="K24" s="179">
        <v>87041</v>
      </c>
      <c r="L24" s="179">
        <v>91291</v>
      </c>
      <c r="M24" s="179">
        <v>86971</v>
      </c>
      <c r="N24" s="179">
        <v>75164</v>
      </c>
      <c r="O24" s="179">
        <v>75191</v>
      </c>
      <c r="Q24" s="238"/>
    </row>
    <row r="25" spans="1:17" x14ac:dyDescent="0.25">
      <c r="A25" s="174" t="s">
        <v>61</v>
      </c>
      <c r="B25" s="176">
        <v>1849.7</v>
      </c>
      <c r="C25" s="176">
        <v>2299.9</v>
      </c>
      <c r="D25" s="176">
        <v>2913</v>
      </c>
      <c r="E25" s="176">
        <v>3319.2</v>
      </c>
      <c r="F25" s="176">
        <v>3535.3</v>
      </c>
      <c r="G25" s="176">
        <v>3835.7</v>
      </c>
      <c r="I25" s="174" t="s">
        <v>61</v>
      </c>
      <c r="J25" s="179">
        <v>5329</v>
      </c>
      <c r="K25" s="179">
        <v>5177</v>
      </c>
      <c r="L25" s="179">
        <v>5625</v>
      </c>
      <c r="M25" s="179">
        <v>5450</v>
      </c>
      <c r="N25" s="179">
        <v>5309</v>
      </c>
      <c r="O25" s="179">
        <v>5412</v>
      </c>
      <c r="Q25" s="238"/>
    </row>
    <row r="26" spans="1:17" x14ac:dyDescent="0.25">
      <c r="A26" s="174" t="s">
        <v>62</v>
      </c>
      <c r="B26" s="176">
        <v>1600.4</v>
      </c>
      <c r="C26" s="176">
        <v>1992.2</v>
      </c>
      <c r="D26" s="176">
        <v>2319.1999999999998</v>
      </c>
      <c r="E26" s="176">
        <v>2660.3</v>
      </c>
      <c r="F26" s="176">
        <v>2919.4</v>
      </c>
      <c r="G26" s="176">
        <v>3095.6</v>
      </c>
      <c r="I26" s="174" t="s">
        <v>62</v>
      </c>
      <c r="J26" s="179">
        <v>3685</v>
      </c>
      <c r="K26" s="179">
        <v>3838</v>
      </c>
      <c r="L26" s="179">
        <v>3932</v>
      </c>
      <c r="M26" s="179">
        <v>3850</v>
      </c>
      <c r="N26" s="179">
        <v>3570</v>
      </c>
      <c r="O26" s="179">
        <v>3307</v>
      </c>
      <c r="Q26" s="238"/>
    </row>
    <row r="27" spans="1:17" x14ac:dyDescent="0.25">
      <c r="Q27" s="238"/>
    </row>
    <row r="28" spans="1:17" ht="6" customHeight="1" x14ac:dyDescent="0.25">
      <c r="A28" s="257"/>
      <c r="B28" s="238"/>
      <c r="C28" s="238"/>
      <c r="D28" s="238"/>
      <c r="E28" s="238"/>
      <c r="F28" s="238"/>
      <c r="G28" s="238"/>
      <c r="H28" s="238"/>
      <c r="I28" s="238"/>
      <c r="J28" s="238"/>
      <c r="K28" s="238"/>
      <c r="L28" s="238"/>
      <c r="M28" s="238"/>
      <c r="N28" s="238"/>
      <c r="O28" s="238"/>
      <c r="P28" s="238"/>
      <c r="Q28" s="238"/>
    </row>
    <row r="29" spans="1:17" ht="36.75" customHeight="1" x14ac:dyDescent="0.35">
      <c r="B29" s="272" t="s">
        <v>24</v>
      </c>
      <c r="C29" s="260"/>
      <c r="D29" s="260"/>
      <c r="E29" s="260"/>
      <c r="F29" s="260"/>
      <c r="G29" s="260"/>
      <c r="H29" s="260"/>
      <c r="I29" s="260"/>
      <c r="J29" s="260"/>
      <c r="K29" s="260"/>
      <c r="L29" s="260"/>
      <c r="M29" s="260"/>
      <c r="N29" s="260"/>
      <c r="O29" s="260"/>
      <c r="Q29" s="238"/>
    </row>
    <row r="30" spans="1:17" ht="15" customHeight="1" x14ac:dyDescent="0.25">
      <c r="B30" s="271" t="s">
        <v>63</v>
      </c>
      <c r="C30" s="263"/>
      <c r="D30" s="263"/>
      <c r="E30" s="263"/>
      <c r="F30" s="263"/>
      <c r="G30" s="263"/>
      <c r="H30" s="263"/>
      <c r="I30" s="263"/>
      <c r="J30" s="263"/>
      <c r="K30" s="263"/>
      <c r="L30" s="263"/>
      <c r="M30" s="263"/>
      <c r="N30" s="263"/>
      <c r="O30" s="264"/>
      <c r="Q30" s="238"/>
    </row>
    <row r="31" spans="1:17" x14ac:dyDescent="0.25">
      <c r="B31" s="265"/>
      <c r="C31" s="238"/>
      <c r="D31" s="238"/>
      <c r="E31" s="238"/>
      <c r="F31" s="238"/>
      <c r="G31" s="238"/>
      <c r="H31" s="238"/>
      <c r="I31" s="238"/>
      <c r="J31" s="238"/>
      <c r="K31" s="238"/>
      <c r="L31" s="238"/>
      <c r="M31" s="238"/>
      <c r="N31" s="238"/>
      <c r="O31" s="266"/>
      <c r="Q31" s="238"/>
    </row>
    <row r="32" spans="1:17" ht="32.25" customHeight="1" x14ac:dyDescent="0.25">
      <c r="B32" s="267"/>
      <c r="C32" s="260"/>
      <c r="D32" s="260"/>
      <c r="E32" s="260"/>
      <c r="F32" s="260"/>
      <c r="G32" s="260"/>
      <c r="H32" s="260"/>
      <c r="I32" s="260"/>
      <c r="J32" s="260"/>
      <c r="K32" s="260"/>
      <c r="L32" s="260"/>
      <c r="M32" s="260"/>
      <c r="N32" s="260"/>
      <c r="O32" s="268"/>
      <c r="Q32" s="238"/>
    </row>
    <row r="33" spans="2:17" x14ac:dyDescent="0.25">
      <c r="Q33" s="238"/>
    </row>
    <row r="34" spans="2:17" ht="43.5" customHeight="1" x14ac:dyDescent="0.25">
      <c r="B34" s="269" t="s">
        <v>64</v>
      </c>
      <c r="C34" s="242"/>
      <c r="D34" s="242"/>
      <c r="E34" s="242"/>
      <c r="Q34" s="238"/>
    </row>
    <row r="35" spans="2:17" ht="32.1" customHeight="1" x14ac:dyDescent="0.25">
      <c r="B35" s="270" t="s">
        <v>34</v>
      </c>
      <c r="C35" s="254"/>
      <c r="D35" s="255"/>
      <c r="E35" s="188">
        <f>O8-J8</f>
        <v>260</v>
      </c>
      <c r="Q35" s="238"/>
    </row>
    <row r="36" spans="2:17" ht="32.1" customHeight="1" x14ac:dyDescent="0.25">
      <c r="B36" s="270" t="s">
        <v>35</v>
      </c>
      <c r="C36" s="254"/>
      <c r="D36" s="255"/>
      <c r="E36" s="189">
        <f>(O8/J8-1)*100</f>
        <v>4.9980776624375167</v>
      </c>
      <c r="Q36" s="238"/>
    </row>
    <row r="37" spans="2:17" ht="32.1" customHeight="1" x14ac:dyDescent="0.25">
      <c r="B37" s="270" t="s">
        <v>36</v>
      </c>
      <c r="C37" s="254"/>
      <c r="D37" s="255"/>
      <c r="E37" s="189">
        <f>(O8/J8)^(1/5)*100</f>
        <v>100.98021001461872</v>
      </c>
      <c r="Q37" s="238"/>
    </row>
    <row r="38" spans="2:17" ht="32.1" customHeight="1" x14ac:dyDescent="0.25">
      <c r="B38" s="270" t="s">
        <v>37</v>
      </c>
      <c r="C38" s="254"/>
      <c r="D38" s="255"/>
      <c r="E38" s="189">
        <f>E37-100</f>
        <v>0.98021001461872004</v>
      </c>
      <c r="Q38" s="238"/>
    </row>
    <row r="39" spans="2:17" x14ac:dyDescent="0.25">
      <c r="Q39" s="238"/>
    </row>
    <row r="40" spans="2:17" x14ac:dyDescent="0.25">
      <c r="Q40" s="238"/>
    </row>
    <row r="41" spans="2:17" x14ac:dyDescent="0.25">
      <c r="Q41" s="238"/>
    </row>
    <row r="42" spans="2:17" x14ac:dyDescent="0.25">
      <c r="Q42" s="238"/>
    </row>
    <row r="43" spans="2:17" x14ac:dyDescent="0.25">
      <c r="Q43" s="238"/>
    </row>
    <row r="44" spans="2:17" x14ac:dyDescent="0.25">
      <c r="Q44" s="238"/>
    </row>
    <row r="45" spans="2:17" x14ac:dyDescent="0.25">
      <c r="Q45" s="238"/>
    </row>
    <row r="46" spans="2:17" x14ac:dyDescent="0.25">
      <c r="Q46" s="238"/>
    </row>
    <row r="47" spans="2:17" x14ac:dyDescent="0.25">
      <c r="Q47" s="238"/>
    </row>
    <row r="48" spans="2:17" x14ac:dyDescent="0.25">
      <c r="Q48" s="238"/>
    </row>
    <row r="49" spans="1:17" x14ac:dyDescent="0.25">
      <c r="Q49" s="238"/>
    </row>
    <row r="50" spans="1:17" x14ac:dyDescent="0.25">
      <c r="Q50" s="238"/>
    </row>
    <row r="51" spans="1:17" x14ac:dyDescent="0.25">
      <c r="Q51" s="238"/>
    </row>
    <row r="52" spans="1:17" x14ac:dyDescent="0.25">
      <c r="Q52" s="238"/>
    </row>
    <row r="53" spans="1:17" x14ac:dyDescent="0.25">
      <c r="Q53" s="238"/>
    </row>
    <row r="54" spans="1:17" ht="9" customHeight="1" x14ac:dyDescent="0.25">
      <c r="A54" s="257"/>
      <c r="B54" s="238"/>
      <c r="C54" s="238"/>
      <c r="D54" s="238"/>
      <c r="E54" s="238"/>
      <c r="F54" s="238"/>
      <c r="G54" s="238"/>
      <c r="H54" s="238"/>
      <c r="I54" s="238"/>
      <c r="J54" s="238"/>
      <c r="K54" s="238"/>
      <c r="L54" s="238"/>
      <c r="M54" s="238"/>
      <c r="N54" s="238"/>
      <c r="O54" s="238"/>
      <c r="P54" s="238"/>
      <c r="Q54" s="238"/>
    </row>
  </sheetData>
  <mergeCells count="11">
    <mergeCell ref="A4:P4"/>
    <mergeCell ref="B34:E34"/>
    <mergeCell ref="A54:P54"/>
    <mergeCell ref="Q1:Q54"/>
    <mergeCell ref="B38:D38"/>
    <mergeCell ref="A28:P28"/>
    <mergeCell ref="B36:D36"/>
    <mergeCell ref="B37:D37"/>
    <mergeCell ref="B30:O32"/>
    <mergeCell ref="B35:D35"/>
    <mergeCell ref="B29:O29"/>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54"/>
  <sheetViews>
    <sheetView showGridLines="0" workbookViewId="0">
      <selection activeCell="Q22" sqref="Q22"/>
    </sheetView>
  </sheetViews>
  <sheetFormatPr defaultRowHeight="15" x14ac:dyDescent="0.25"/>
  <cols>
    <col min="1" max="1" width="36" customWidth="1"/>
    <col min="8" max="8" width="12.28515625" customWidth="1"/>
    <col min="21" max="21" width="28.140625" customWidth="1"/>
    <col min="22" max="22" width="1.7109375" customWidth="1"/>
    <col min="38" max="38" width="1.7109375" customWidth="1"/>
  </cols>
  <sheetData>
    <row r="1" spans="1:22" x14ac:dyDescent="0.25">
      <c r="V1" s="257"/>
    </row>
    <row r="2" spans="1:22" x14ac:dyDescent="0.25">
      <c r="V2" s="238"/>
    </row>
    <row r="3" spans="1:22" x14ac:dyDescent="0.25">
      <c r="V3" s="238"/>
    </row>
    <row r="4" spans="1:22" ht="8.25" customHeight="1" x14ac:dyDescent="0.25">
      <c r="A4" s="273"/>
      <c r="B4" s="238"/>
      <c r="C4" s="238"/>
      <c r="D4" s="238"/>
      <c r="E4" s="238"/>
      <c r="F4" s="238"/>
      <c r="G4" s="238"/>
      <c r="H4" s="238"/>
      <c r="I4" s="238"/>
      <c r="J4" s="238"/>
      <c r="K4" s="238"/>
      <c r="L4" s="238"/>
      <c r="M4" s="238"/>
      <c r="N4" s="238"/>
      <c r="O4" s="238"/>
      <c r="P4" s="238"/>
      <c r="Q4" s="238"/>
      <c r="R4" s="238"/>
      <c r="S4" s="238"/>
      <c r="T4" s="238"/>
      <c r="U4" s="238"/>
      <c r="V4" s="238"/>
    </row>
    <row r="5" spans="1:22" ht="15" customHeight="1" thickBot="1" x14ac:dyDescent="0.3">
      <c r="A5" s="120"/>
      <c r="B5" s="120"/>
      <c r="C5" s="120"/>
      <c r="D5" s="120"/>
      <c r="E5" s="120"/>
      <c r="F5" s="120"/>
      <c r="G5" s="120"/>
      <c r="H5" s="120"/>
      <c r="I5" s="120"/>
      <c r="J5" s="120"/>
      <c r="K5" s="120"/>
      <c r="L5" s="120"/>
      <c r="M5" s="120"/>
      <c r="N5" s="120"/>
      <c r="O5" s="120"/>
      <c r="P5" s="120"/>
      <c r="Q5" s="120"/>
      <c r="R5" s="120"/>
      <c r="S5" s="120"/>
      <c r="T5" s="120"/>
      <c r="U5" s="120"/>
      <c r="V5" s="238"/>
    </row>
    <row r="6" spans="1:22" ht="37.5" customHeight="1" thickBot="1" x14ac:dyDescent="0.3">
      <c r="A6" s="276" t="s">
        <v>65</v>
      </c>
      <c r="B6" s="249"/>
      <c r="C6" s="249"/>
      <c r="D6" s="249"/>
      <c r="E6" s="249"/>
      <c r="F6" s="249"/>
      <c r="G6" s="249"/>
      <c r="H6" s="250"/>
      <c r="I6" s="121"/>
      <c r="J6" s="120"/>
      <c r="K6" s="120"/>
      <c r="L6" s="120"/>
      <c r="M6" s="120"/>
      <c r="N6" s="120"/>
      <c r="O6" s="120"/>
      <c r="P6" s="120"/>
      <c r="Q6" s="120"/>
      <c r="R6" s="120"/>
      <c r="S6" s="120"/>
      <c r="T6" s="120"/>
      <c r="U6" s="120"/>
      <c r="V6" s="238"/>
    </row>
    <row r="7" spans="1:22" x14ac:dyDescent="0.25">
      <c r="A7" s="122"/>
      <c r="B7" s="123">
        <v>2011</v>
      </c>
      <c r="C7" s="123">
        <v>2012</v>
      </c>
      <c r="D7" s="123">
        <v>2013</v>
      </c>
      <c r="E7" s="123">
        <v>2014</v>
      </c>
      <c r="F7" s="123">
        <v>2015</v>
      </c>
      <c r="G7" s="124">
        <v>2016</v>
      </c>
      <c r="H7" s="123">
        <v>2020</v>
      </c>
      <c r="I7" s="120"/>
      <c r="J7" s="120"/>
      <c r="K7" s="120"/>
      <c r="L7" s="120"/>
      <c r="M7" s="120"/>
      <c r="N7" s="120"/>
      <c r="O7" s="120"/>
      <c r="P7" s="120"/>
      <c r="Q7" s="120"/>
      <c r="R7" s="120"/>
      <c r="S7" s="120"/>
      <c r="T7" s="120"/>
      <c r="U7" s="120"/>
      <c r="V7" s="238"/>
    </row>
    <row r="8" spans="1:22" x14ac:dyDescent="0.25">
      <c r="A8" s="125" t="s">
        <v>66</v>
      </c>
      <c r="B8" s="16">
        <v>1245.7</v>
      </c>
      <c r="C8" s="16">
        <v>1417.3</v>
      </c>
      <c r="D8" s="16">
        <v>1476.5</v>
      </c>
      <c r="E8" s="16">
        <v>2124.1999999999998</v>
      </c>
      <c r="F8" s="16">
        <v>1994.8</v>
      </c>
      <c r="G8" s="126">
        <v>264.10000000000002</v>
      </c>
      <c r="H8" s="16">
        <v>847.8</v>
      </c>
      <c r="I8" s="120"/>
      <c r="J8" s="120"/>
      <c r="K8" s="120"/>
      <c r="L8" s="120"/>
      <c r="M8" s="120"/>
      <c r="N8" s="120"/>
      <c r="O8" s="120"/>
      <c r="P8" s="120"/>
      <c r="Q8" s="120"/>
      <c r="R8" s="120"/>
      <c r="S8" s="120"/>
      <c r="T8" s="120"/>
      <c r="U8" s="120"/>
      <c r="V8" s="238"/>
    </row>
    <row r="9" spans="1:22" x14ac:dyDescent="0.25">
      <c r="A9" s="127" t="s">
        <v>67</v>
      </c>
      <c r="B9" s="128"/>
      <c r="C9" s="128"/>
      <c r="D9" s="128"/>
      <c r="E9" s="128"/>
      <c r="F9" s="128"/>
      <c r="G9" s="129"/>
      <c r="H9" s="130"/>
      <c r="I9" s="120"/>
      <c r="J9" s="120"/>
      <c r="K9" s="120"/>
      <c r="L9" s="120"/>
      <c r="M9" s="120"/>
      <c r="N9" s="120"/>
      <c r="O9" s="120"/>
      <c r="P9" s="120"/>
      <c r="Q9" s="120"/>
      <c r="R9" s="120"/>
      <c r="S9" s="120"/>
      <c r="T9" s="120"/>
      <c r="U9" s="120"/>
      <c r="V9" s="238"/>
    </row>
    <row r="10" spans="1:22" ht="28.5" customHeight="1" x14ac:dyDescent="0.25">
      <c r="A10" s="131" t="s">
        <v>68</v>
      </c>
      <c r="B10" s="19">
        <v>519.70000000000005</v>
      </c>
      <c r="C10" s="19">
        <v>243.1</v>
      </c>
      <c r="D10" s="19">
        <v>350.3</v>
      </c>
      <c r="E10" s="20">
        <v>564.20000000000005</v>
      </c>
      <c r="F10" s="20">
        <v>647.9</v>
      </c>
      <c r="G10" s="12">
        <v>69.900000000000006</v>
      </c>
      <c r="H10" s="128">
        <v>119.3</v>
      </c>
      <c r="I10" s="120"/>
      <c r="J10" s="120"/>
      <c r="K10" s="120"/>
      <c r="L10" s="120"/>
      <c r="M10" s="120"/>
      <c r="N10" s="120"/>
      <c r="O10" s="120"/>
      <c r="P10" s="120"/>
      <c r="Q10" s="120"/>
      <c r="R10" s="120"/>
      <c r="S10" s="120"/>
      <c r="T10" s="120"/>
      <c r="U10" s="120"/>
      <c r="V10" s="238"/>
    </row>
    <row r="11" spans="1:22" ht="18" customHeight="1" x14ac:dyDescent="0.25">
      <c r="A11" s="131" t="s">
        <v>69</v>
      </c>
      <c r="B11" s="19">
        <v>53.2</v>
      </c>
      <c r="C11" s="19">
        <v>82</v>
      </c>
      <c r="D11" s="19">
        <v>163.4</v>
      </c>
      <c r="E11" s="20">
        <v>314.10000000000002</v>
      </c>
      <c r="F11" s="20">
        <v>307.60000000000002</v>
      </c>
      <c r="G11" s="12">
        <v>33</v>
      </c>
      <c r="H11" s="128">
        <v>128.19999999999999</v>
      </c>
      <c r="I11" s="120"/>
      <c r="J11" s="120"/>
      <c r="K11" s="120"/>
      <c r="L11" s="120"/>
      <c r="M11" s="120"/>
      <c r="N11" s="120"/>
      <c r="O11" s="120"/>
      <c r="P11" s="120"/>
      <c r="Q11" s="120"/>
      <c r="R11" s="120"/>
      <c r="S11" s="120"/>
      <c r="T11" s="120"/>
      <c r="U11" s="120"/>
      <c r="V11" s="238"/>
    </row>
    <row r="12" spans="1:22" ht="27.6" customHeight="1" x14ac:dyDescent="0.25">
      <c r="A12" s="131" t="s">
        <v>70</v>
      </c>
      <c r="B12" s="19">
        <v>219.2</v>
      </c>
      <c r="C12" s="19">
        <v>268.7</v>
      </c>
      <c r="D12" s="19">
        <v>354.1</v>
      </c>
      <c r="E12" s="20">
        <v>403.2</v>
      </c>
      <c r="F12" s="20">
        <v>413.3</v>
      </c>
      <c r="G12" s="12">
        <v>56.3</v>
      </c>
      <c r="H12" s="128">
        <v>52</v>
      </c>
      <c r="I12" s="120"/>
      <c r="J12" s="120"/>
      <c r="K12" s="120"/>
      <c r="L12" s="120"/>
      <c r="M12" s="120"/>
      <c r="N12" s="120"/>
      <c r="O12" s="120"/>
      <c r="P12" s="120"/>
      <c r="Q12" s="120"/>
      <c r="R12" s="120"/>
      <c r="S12" s="120"/>
      <c r="T12" s="120"/>
      <c r="U12" s="120"/>
      <c r="V12" s="238"/>
    </row>
    <row r="13" spans="1:22" ht="54.75" customHeight="1" x14ac:dyDescent="0.25">
      <c r="A13" s="131" t="s">
        <v>71</v>
      </c>
      <c r="B13" s="19">
        <v>4.3</v>
      </c>
      <c r="C13" s="19">
        <v>7.3</v>
      </c>
      <c r="D13" s="19">
        <v>7.2</v>
      </c>
      <c r="E13" s="20">
        <v>8.9</v>
      </c>
      <c r="F13" s="20">
        <v>14</v>
      </c>
      <c r="G13" s="12">
        <v>2.7</v>
      </c>
      <c r="H13" s="128">
        <v>2.6</v>
      </c>
      <c r="I13" s="120"/>
      <c r="J13" s="120"/>
      <c r="K13" s="120"/>
      <c r="L13" s="120"/>
      <c r="M13" s="120"/>
      <c r="N13" s="120"/>
      <c r="O13" s="120"/>
      <c r="P13" s="120"/>
      <c r="Q13" s="120"/>
      <c r="R13" s="120"/>
      <c r="S13" s="120"/>
      <c r="T13" s="120"/>
      <c r="U13" s="120"/>
      <c r="V13" s="238"/>
    </row>
    <row r="14" spans="1:22" ht="57" customHeight="1" x14ac:dyDescent="0.25">
      <c r="A14" s="131" t="s">
        <v>72</v>
      </c>
      <c r="B14" s="20">
        <v>53.2</v>
      </c>
      <c r="C14" s="19">
        <v>87.2</v>
      </c>
      <c r="D14" s="19">
        <v>135.80000000000001</v>
      </c>
      <c r="E14" s="20">
        <v>393.4</v>
      </c>
      <c r="F14" s="20">
        <v>338</v>
      </c>
      <c r="G14" s="12">
        <v>56.2</v>
      </c>
      <c r="H14" s="157">
        <v>240.4</v>
      </c>
      <c r="I14" s="132"/>
      <c r="J14" s="132"/>
      <c r="K14" s="132"/>
      <c r="L14" s="132"/>
      <c r="M14" s="132"/>
      <c r="N14" s="132"/>
      <c r="O14" s="132"/>
      <c r="P14" s="132"/>
      <c r="Q14" s="132"/>
      <c r="R14" s="132"/>
      <c r="S14" s="132"/>
      <c r="T14" s="132"/>
      <c r="U14" s="132"/>
      <c r="V14" s="238"/>
    </row>
    <row r="15" spans="1:22" ht="29.25" customHeight="1" x14ac:dyDescent="0.25">
      <c r="A15" s="131" t="s">
        <v>73</v>
      </c>
      <c r="B15" s="128">
        <v>0</v>
      </c>
      <c r="C15" s="19">
        <v>10.8</v>
      </c>
      <c r="D15" s="19">
        <v>18.2</v>
      </c>
      <c r="E15" s="20">
        <v>17.7</v>
      </c>
      <c r="F15" s="20">
        <v>10.5</v>
      </c>
      <c r="G15" s="12">
        <v>0.9</v>
      </c>
      <c r="H15" s="128" t="s">
        <v>74</v>
      </c>
      <c r="I15" s="120"/>
      <c r="J15" s="120"/>
      <c r="K15" s="120"/>
      <c r="L15" s="120"/>
      <c r="M15" s="120"/>
      <c r="N15" s="120"/>
      <c r="O15" s="120"/>
      <c r="P15" s="120"/>
      <c r="Q15" s="120"/>
      <c r="R15" s="120"/>
      <c r="S15" s="120"/>
      <c r="T15" s="120"/>
      <c r="U15" s="120"/>
      <c r="V15" s="238"/>
    </row>
    <row r="16" spans="1:22" ht="41.45" customHeight="1" x14ac:dyDescent="0.25">
      <c r="A16" s="131" t="s">
        <v>75</v>
      </c>
      <c r="B16" s="19">
        <v>396.1</v>
      </c>
      <c r="C16" s="19">
        <v>729</v>
      </c>
      <c r="D16" s="19">
        <f>465.7</f>
        <v>465.7</v>
      </c>
      <c r="E16" s="20">
        <v>440.4</v>
      </c>
      <c r="F16" s="20">
        <v>274</v>
      </c>
      <c r="G16" s="12">
        <v>46</v>
      </c>
      <c r="H16" s="128">
        <v>228.8</v>
      </c>
      <c r="I16" s="120"/>
      <c r="J16" s="120"/>
      <c r="K16" s="120"/>
      <c r="L16" s="120"/>
      <c r="M16" s="120"/>
      <c r="N16" s="120"/>
      <c r="O16" s="120"/>
      <c r="P16" s="120"/>
      <c r="Q16" s="120"/>
      <c r="R16" s="120"/>
      <c r="S16" s="120"/>
      <c r="T16" s="120"/>
      <c r="U16" s="120"/>
      <c r="V16" s="238"/>
    </row>
    <row r="17" spans="1:22" ht="41.45" customHeight="1" x14ac:dyDescent="0.25">
      <c r="A17" s="131" t="s">
        <v>76</v>
      </c>
      <c r="B17" s="133" t="s">
        <v>77</v>
      </c>
      <c r="C17" s="133" t="s">
        <v>77</v>
      </c>
      <c r="D17" s="133" t="s">
        <v>77</v>
      </c>
      <c r="E17" s="133" t="s">
        <v>77</v>
      </c>
      <c r="F17" s="158" t="s">
        <v>77</v>
      </c>
      <c r="G17" s="133" t="s">
        <v>77</v>
      </c>
      <c r="H17" s="130"/>
      <c r="I17" s="120"/>
      <c r="J17" s="120"/>
      <c r="K17" s="120"/>
      <c r="L17" s="120"/>
      <c r="M17" s="120"/>
      <c r="N17" s="120"/>
      <c r="O17" s="120"/>
      <c r="P17" s="120"/>
      <c r="Q17" s="120"/>
      <c r="R17" s="120"/>
      <c r="S17" s="120"/>
      <c r="T17" s="120"/>
      <c r="U17" s="120"/>
      <c r="V17" s="238"/>
    </row>
    <row r="18" spans="1:22" ht="41.45" customHeight="1" x14ac:dyDescent="0.25">
      <c r="A18" s="193"/>
      <c r="B18" s="194"/>
      <c r="C18" s="194"/>
      <c r="D18" s="194"/>
      <c r="E18" s="194"/>
      <c r="F18" s="195"/>
      <c r="G18" s="194"/>
      <c r="H18" s="196"/>
      <c r="I18" s="120"/>
      <c r="J18" s="120"/>
      <c r="K18" s="120"/>
      <c r="L18" s="120"/>
      <c r="M18" s="120"/>
      <c r="N18" s="120"/>
      <c r="O18" s="120"/>
      <c r="P18" s="120"/>
      <c r="Q18" s="120"/>
      <c r="R18" s="120"/>
      <c r="S18" s="120"/>
      <c r="T18" s="120"/>
      <c r="U18" s="120"/>
      <c r="V18" s="238"/>
    </row>
    <row r="19" spans="1:22" ht="25.5" customHeight="1" x14ac:dyDescent="0.4">
      <c r="A19" s="120"/>
      <c r="B19" s="275" t="s">
        <v>24</v>
      </c>
      <c r="C19" s="238"/>
      <c r="D19" s="238"/>
      <c r="E19" s="238"/>
      <c r="F19" s="238"/>
      <c r="G19" s="238"/>
      <c r="H19" s="238"/>
      <c r="I19" s="238"/>
      <c r="J19" s="238"/>
      <c r="K19" s="238"/>
      <c r="L19" s="238"/>
      <c r="U19" s="120"/>
      <c r="V19" s="238"/>
    </row>
    <row r="20" spans="1:22" ht="15" customHeight="1" x14ac:dyDescent="0.25">
      <c r="A20" s="120"/>
      <c r="B20" s="274" t="s">
        <v>78</v>
      </c>
      <c r="C20" s="238"/>
      <c r="D20" s="238"/>
      <c r="E20" s="238"/>
      <c r="F20" s="238"/>
      <c r="G20" s="238"/>
      <c r="H20" s="238"/>
      <c r="I20" s="238"/>
      <c r="J20" s="238"/>
      <c r="K20" s="238"/>
      <c r="L20" s="238"/>
      <c r="U20" s="120"/>
      <c r="V20" s="238"/>
    </row>
    <row r="21" spans="1:22" ht="15" customHeight="1" x14ac:dyDescent="0.25">
      <c r="A21" s="120"/>
      <c r="B21" s="238"/>
      <c r="C21" s="238"/>
      <c r="D21" s="238"/>
      <c r="E21" s="238"/>
      <c r="F21" s="238"/>
      <c r="G21" s="238"/>
      <c r="H21" s="238"/>
      <c r="I21" s="238"/>
      <c r="J21" s="238"/>
      <c r="K21" s="238"/>
      <c r="L21" s="238"/>
      <c r="U21" s="120"/>
      <c r="V21" s="238"/>
    </row>
    <row r="22" spans="1:22" ht="21" customHeight="1" x14ac:dyDescent="0.25">
      <c r="A22" s="190"/>
      <c r="B22" s="238"/>
      <c r="C22" s="238"/>
      <c r="D22" s="238"/>
      <c r="E22" s="238"/>
      <c r="F22" s="238"/>
      <c r="G22" s="238"/>
      <c r="H22" s="238"/>
      <c r="I22" s="238"/>
      <c r="J22" s="238"/>
      <c r="K22" s="238"/>
      <c r="L22" s="238"/>
      <c r="U22" s="120"/>
      <c r="V22" s="238"/>
    </row>
    <row r="23" spans="1:22" ht="15" customHeight="1" x14ac:dyDescent="0.25">
      <c r="B23" s="238"/>
      <c r="C23" s="238"/>
      <c r="D23" s="238"/>
      <c r="E23" s="238"/>
      <c r="F23" s="238"/>
      <c r="G23" s="238"/>
      <c r="H23" s="238"/>
      <c r="I23" s="238"/>
      <c r="J23" s="238"/>
      <c r="K23" s="238"/>
      <c r="L23" s="238"/>
      <c r="U23" s="120"/>
      <c r="V23" s="238"/>
    </row>
    <row r="24" spans="1:22" ht="15" customHeight="1" x14ac:dyDescent="0.25">
      <c r="B24" s="238"/>
      <c r="C24" s="238"/>
      <c r="D24" s="238"/>
      <c r="E24" s="238"/>
      <c r="F24" s="238"/>
      <c r="G24" s="238"/>
      <c r="H24" s="238"/>
      <c r="I24" s="238"/>
      <c r="J24" s="238"/>
      <c r="K24" s="238"/>
      <c r="L24" s="238"/>
      <c r="U24" s="120"/>
      <c r="V24" s="238"/>
    </row>
    <row r="25" spans="1:22" ht="15" customHeight="1" x14ac:dyDescent="0.25">
      <c r="B25" s="238"/>
      <c r="C25" s="238"/>
      <c r="D25" s="238"/>
      <c r="E25" s="238"/>
      <c r="F25" s="238"/>
      <c r="G25" s="238"/>
      <c r="H25" s="238"/>
      <c r="I25" s="238"/>
      <c r="J25" s="238"/>
      <c r="K25" s="238"/>
      <c r="L25" s="238"/>
      <c r="U25" s="120"/>
      <c r="V25" s="238"/>
    </row>
    <row r="26" spans="1:22" ht="15" customHeight="1" x14ac:dyDescent="0.25">
      <c r="A26" s="120"/>
      <c r="B26" s="238"/>
      <c r="C26" s="238"/>
      <c r="D26" s="238"/>
      <c r="E26" s="238"/>
      <c r="F26" s="238"/>
      <c r="G26" s="238"/>
      <c r="H26" s="238"/>
      <c r="I26" s="238"/>
      <c r="J26" s="238"/>
      <c r="K26" s="238"/>
      <c r="L26" s="238"/>
      <c r="U26" s="120"/>
      <c r="V26" s="238"/>
    </row>
    <row r="27" spans="1:22" ht="15" customHeight="1" x14ac:dyDescent="0.25">
      <c r="A27" s="120"/>
      <c r="B27" s="238"/>
      <c r="C27" s="238"/>
      <c r="D27" s="238"/>
      <c r="E27" s="238"/>
      <c r="F27" s="238"/>
      <c r="G27" s="238"/>
      <c r="H27" s="238"/>
      <c r="I27" s="238"/>
      <c r="J27" s="238"/>
      <c r="K27" s="238"/>
      <c r="L27" s="238"/>
      <c r="U27" s="120"/>
      <c r="V27" s="238"/>
    </row>
    <row r="28" spans="1:22" x14ac:dyDescent="0.25">
      <c r="A28" s="120"/>
      <c r="B28" s="120"/>
      <c r="C28" s="120"/>
      <c r="D28" s="120"/>
      <c r="E28" s="120"/>
      <c r="F28" s="120"/>
      <c r="G28" s="120"/>
      <c r="H28" s="120"/>
      <c r="I28" s="120"/>
      <c r="J28" s="120"/>
      <c r="K28" s="120"/>
      <c r="L28" s="120"/>
      <c r="M28" s="120"/>
      <c r="N28" s="120"/>
      <c r="O28" s="120"/>
      <c r="P28" s="120"/>
      <c r="Q28" s="120"/>
      <c r="R28" s="120"/>
      <c r="S28" s="120"/>
      <c r="T28" s="120"/>
      <c r="U28" s="120"/>
      <c r="V28" s="238"/>
    </row>
    <row r="29" spans="1:22" ht="6" customHeight="1" x14ac:dyDescent="0.25">
      <c r="A29" s="247"/>
      <c r="B29" s="238"/>
      <c r="C29" s="238"/>
      <c r="D29" s="238"/>
      <c r="E29" s="238"/>
      <c r="F29" s="238"/>
      <c r="G29" s="238"/>
      <c r="H29" s="238"/>
      <c r="I29" s="238"/>
      <c r="J29" s="238"/>
      <c r="K29" s="238"/>
      <c r="L29" s="238"/>
      <c r="M29" s="238"/>
      <c r="N29" s="238"/>
      <c r="O29" s="238"/>
      <c r="P29" s="238"/>
      <c r="Q29" s="238"/>
      <c r="R29" s="238"/>
      <c r="S29" s="238"/>
      <c r="T29" s="238"/>
      <c r="U29" s="238"/>
      <c r="V29" s="238"/>
    </row>
    <row r="30" spans="1:22" x14ac:dyDescent="0.25">
      <c r="B30" s="191"/>
      <c r="C30" s="191"/>
      <c r="D30" s="191"/>
      <c r="E30" s="191"/>
      <c r="F30" s="191"/>
      <c r="G30" s="191"/>
      <c r="H30" s="191"/>
      <c r="V30" s="238"/>
    </row>
    <row r="31" spans="1:22" ht="18" customHeight="1" x14ac:dyDescent="0.25">
      <c r="V31" s="238"/>
    </row>
    <row r="32" spans="1:22" ht="18" customHeight="1" x14ac:dyDescent="0.25">
      <c r="V32" s="238"/>
    </row>
    <row r="33" spans="22:22" ht="18" customHeight="1" x14ac:dyDescent="0.25">
      <c r="V33" s="238"/>
    </row>
    <row r="34" spans="22:22" x14ac:dyDescent="0.25">
      <c r="V34" s="238"/>
    </row>
    <row r="35" spans="22:22" x14ac:dyDescent="0.25">
      <c r="V35" s="238"/>
    </row>
    <row r="36" spans="22:22" x14ac:dyDescent="0.25">
      <c r="V36" s="238"/>
    </row>
    <row r="37" spans="22:22" x14ac:dyDescent="0.25">
      <c r="V37" s="238"/>
    </row>
    <row r="38" spans="22:22" x14ac:dyDescent="0.25">
      <c r="V38" s="238"/>
    </row>
    <row r="39" spans="22:22" x14ac:dyDescent="0.25">
      <c r="V39" s="238"/>
    </row>
    <row r="40" spans="22:22" x14ac:dyDescent="0.25">
      <c r="V40" s="238"/>
    </row>
    <row r="41" spans="22:22" x14ac:dyDescent="0.25">
      <c r="V41" s="238"/>
    </row>
    <row r="42" spans="22:22" x14ac:dyDescent="0.25">
      <c r="V42" s="238"/>
    </row>
    <row r="43" spans="22:22" x14ac:dyDescent="0.25">
      <c r="V43" s="238"/>
    </row>
    <row r="44" spans="22:22" x14ac:dyDescent="0.25">
      <c r="V44" s="238"/>
    </row>
    <row r="45" spans="22:22" x14ac:dyDescent="0.25">
      <c r="V45" s="238"/>
    </row>
    <row r="46" spans="22:22" x14ac:dyDescent="0.25">
      <c r="V46" s="238"/>
    </row>
    <row r="47" spans="22:22" x14ac:dyDescent="0.25">
      <c r="V47" s="238"/>
    </row>
    <row r="48" spans="22:22" x14ac:dyDescent="0.25">
      <c r="V48" s="238"/>
    </row>
    <row r="49" spans="22:22" x14ac:dyDescent="0.25">
      <c r="V49" s="238"/>
    </row>
    <row r="50" spans="22:22" x14ac:dyDescent="0.25">
      <c r="V50" s="238"/>
    </row>
    <row r="51" spans="22:22" x14ac:dyDescent="0.25">
      <c r="V51" s="238"/>
    </row>
    <row r="52" spans="22:22" x14ac:dyDescent="0.25">
      <c r="V52" s="238"/>
    </row>
    <row r="53" spans="22:22" x14ac:dyDescent="0.25">
      <c r="V53" s="238"/>
    </row>
    <row r="54" spans="22:22" ht="6" customHeight="1" x14ac:dyDescent="0.25">
      <c r="V54" s="238"/>
    </row>
  </sheetData>
  <mergeCells count="6">
    <mergeCell ref="V1:V54"/>
    <mergeCell ref="A4:U4"/>
    <mergeCell ref="B20:L27"/>
    <mergeCell ref="A29:U29"/>
    <mergeCell ref="B19:L19"/>
    <mergeCell ref="A6:H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62"/>
  <sheetViews>
    <sheetView showGridLines="0" zoomScale="95" workbookViewId="0">
      <selection activeCell="L26" sqref="L26:Z26"/>
    </sheetView>
  </sheetViews>
  <sheetFormatPr defaultColWidth="10.5703125" defaultRowHeight="15" x14ac:dyDescent="0.25"/>
  <cols>
    <col min="1" max="1" width="64.5703125" style="91" customWidth="1"/>
    <col min="2" max="9" width="10.5703125" style="91" customWidth="1"/>
    <col min="10" max="10" width="3" style="91" customWidth="1"/>
    <col min="11" max="11" width="1.7109375" customWidth="1"/>
    <col min="12" max="26" width="10.5703125" style="91" customWidth="1"/>
    <col min="27" max="27" width="1.7109375" customWidth="1"/>
    <col min="28" max="29" width="10.5703125" style="91" customWidth="1"/>
    <col min="30" max="16384" width="10.5703125" style="91"/>
  </cols>
  <sheetData>
    <row r="1" spans="1:27" s="1" customFormat="1" ht="18.600000000000001" customHeight="1" thickBot="1" x14ac:dyDescent="0.3">
      <c r="A1" s="277" t="s">
        <v>79</v>
      </c>
      <c r="B1" s="249"/>
      <c r="C1" s="249"/>
      <c r="D1" s="249"/>
      <c r="E1" s="249"/>
      <c r="F1" s="249"/>
      <c r="G1" s="249"/>
      <c r="H1" s="249"/>
      <c r="I1" s="250"/>
      <c r="K1" s="237"/>
      <c r="AA1" s="237"/>
    </row>
    <row r="2" spans="1:27" ht="15" customHeight="1" thickBot="1" x14ac:dyDescent="0.3">
      <c r="A2" s="86"/>
      <c r="B2" s="87">
        <v>2011</v>
      </c>
      <c r="C2" s="87">
        <v>2012</v>
      </c>
      <c r="D2" s="87">
        <v>2013</v>
      </c>
      <c r="E2" s="87">
        <v>2014</v>
      </c>
      <c r="F2" s="87">
        <v>2015</v>
      </c>
      <c r="G2" s="88">
        <v>2016</v>
      </c>
      <c r="H2" s="89">
        <v>2018</v>
      </c>
      <c r="I2" s="90">
        <v>2020</v>
      </c>
      <c r="K2" s="238"/>
      <c r="AA2" s="238"/>
    </row>
    <row r="3" spans="1:27" ht="27.6" customHeight="1" x14ac:dyDescent="0.25">
      <c r="A3" s="92" t="s">
        <v>80</v>
      </c>
      <c r="B3" s="4">
        <f>11496/10</f>
        <v>1149.5999999999999</v>
      </c>
      <c r="C3" s="4">
        <f>22022/10</f>
        <v>2202.1999999999998</v>
      </c>
      <c r="D3" s="4">
        <f>28516/10</f>
        <v>2851.6</v>
      </c>
      <c r="E3" s="4">
        <f>35484/10</f>
        <v>3548.4</v>
      </c>
      <c r="F3" s="4">
        <f>42432/10</f>
        <v>4243.2</v>
      </c>
      <c r="G3" s="93">
        <v>5436</v>
      </c>
      <c r="H3" s="94">
        <v>8161</v>
      </c>
      <c r="I3" s="95">
        <v>12596</v>
      </c>
      <c r="K3" s="238"/>
      <c r="AA3" s="238"/>
    </row>
    <row r="4" spans="1:27" x14ac:dyDescent="0.25">
      <c r="A4" s="96" t="s">
        <v>81</v>
      </c>
      <c r="B4" s="97"/>
      <c r="C4" s="97"/>
      <c r="D4" s="97"/>
      <c r="E4" s="97"/>
      <c r="F4" s="97"/>
      <c r="G4" s="98"/>
      <c r="H4" s="99"/>
      <c r="I4" s="97"/>
      <c r="K4" s="238"/>
      <c r="L4" s="283"/>
      <c r="M4" s="280"/>
      <c r="N4" s="280"/>
      <c r="O4" s="280"/>
      <c r="P4" s="280"/>
      <c r="Q4" s="280"/>
      <c r="R4" s="280"/>
      <c r="S4" s="280"/>
      <c r="T4" s="280"/>
      <c r="U4" s="280"/>
      <c r="V4" s="280"/>
      <c r="W4" s="280"/>
      <c r="X4" s="280"/>
      <c r="Y4" s="280"/>
      <c r="Z4" s="280"/>
      <c r="AA4" s="238"/>
    </row>
    <row r="5" spans="1:27" x14ac:dyDescent="0.25">
      <c r="A5" s="100" t="s">
        <v>82</v>
      </c>
      <c r="B5" s="8">
        <f t="shared" ref="B5:F12" si="0">B22/10</f>
        <v>362.7</v>
      </c>
      <c r="C5" s="8">
        <f t="shared" si="0"/>
        <v>627.9</v>
      </c>
      <c r="D5" s="8">
        <f t="shared" si="0"/>
        <v>652.29999999999995</v>
      </c>
      <c r="E5" s="8">
        <f t="shared" si="0"/>
        <v>675.2</v>
      </c>
      <c r="F5" s="8">
        <f t="shared" si="0"/>
        <v>320.5</v>
      </c>
      <c r="G5" s="101">
        <v>379</v>
      </c>
      <c r="H5" s="102">
        <v>705</v>
      </c>
      <c r="I5" s="103">
        <v>897</v>
      </c>
      <c r="K5" s="238"/>
      <c r="AA5" s="238"/>
    </row>
    <row r="6" spans="1:27" ht="21" customHeight="1" x14ac:dyDescent="0.25">
      <c r="A6" s="96" t="s">
        <v>83</v>
      </c>
      <c r="B6" s="8">
        <f t="shared" si="0"/>
        <v>79.900000000000006</v>
      </c>
      <c r="C6" s="8">
        <f t="shared" si="0"/>
        <v>149.1</v>
      </c>
      <c r="D6" s="8">
        <f t="shared" si="0"/>
        <v>211.8</v>
      </c>
      <c r="E6" s="8">
        <f t="shared" si="0"/>
        <v>302.2</v>
      </c>
      <c r="F6" s="8">
        <f t="shared" si="0"/>
        <v>496</v>
      </c>
      <c r="G6" s="101">
        <v>727</v>
      </c>
      <c r="H6" s="102">
        <v>1443</v>
      </c>
      <c r="I6" s="104">
        <v>3226</v>
      </c>
      <c r="K6" s="238"/>
      <c r="M6" s="281" t="s">
        <v>24</v>
      </c>
      <c r="N6" s="280"/>
      <c r="O6" s="280"/>
      <c r="P6" s="280"/>
      <c r="Q6" s="280"/>
      <c r="R6" s="280"/>
      <c r="S6" s="280"/>
      <c r="T6" s="280"/>
      <c r="U6" s="280"/>
      <c r="V6" s="280"/>
      <c r="W6" s="280"/>
      <c r="X6" s="280"/>
      <c r="Y6" s="280"/>
      <c r="AA6" s="238"/>
    </row>
    <row r="7" spans="1:27" ht="39.6" customHeight="1" x14ac:dyDescent="0.25">
      <c r="A7" s="100" t="s">
        <v>84</v>
      </c>
      <c r="B7" s="8">
        <f t="shared" si="0"/>
        <v>4.5</v>
      </c>
      <c r="C7" s="8">
        <f t="shared" si="0"/>
        <v>4.2</v>
      </c>
      <c r="D7" s="8">
        <f t="shared" si="0"/>
        <v>13</v>
      </c>
      <c r="E7" s="8">
        <f t="shared" si="0"/>
        <v>7.7</v>
      </c>
      <c r="F7" s="8">
        <f t="shared" si="0"/>
        <v>12</v>
      </c>
      <c r="G7" s="101">
        <v>12</v>
      </c>
      <c r="H7" s="102">
        <v>31</v>
      </c>
      <c r="I7" s="103">
        <v>24</v>
      </c>
      <c r="K7" s="238"/>
      <c r="M7" s="284" t="s">
        <v>85</v>
      </c>
      <c r="N7" s="280"/>
      <c r="O7" s="280"/>
      <c r="P7" s="280"/>
      <c r="Q7" s="280"/>
      <c r="R7" s="280"/>
      <c r="S7" s="280"/>
      <c r="T7" s="280"/>
      <c r="U7" s="280"/>
      <c r="V7" s="280"/>
      <c r="W7" s="280"/>
      <c r="X7" s="280"/>
      <c r="Y7" s="280"/>
      <c r="AA7" s="238"/>
    </row>
    <row r="8" spans="1:27" ht="36" customHeight="1" x14ac:dyDescent="0.25">
      <c r="A8" s="100" t="s">
        <v>86</v>
      </c>
      <c r="B8" s="8">
        <f t="shared" si="0"/>
        <v>29.8</v>
      </c>
      <c r="C8" s="8">
        <f t="shared" si="0"/>
        <v>64.599999999999994</v>
      </c>
      <c r="D8" s="8">
        <f t="shared" si="0"/>
        <v>99.7</v>
      </c>
      <c r="E8" s="8">
        <f t="shared" si="0"/>
        <v>131</v>
      </c>
      <c r="F8" s="8">
        <f t="shared" si="0"/>
        <v>177.9</v>
      </c>
      <c r="G8" s="101">
        <v>224</v>
      </c>
      <c r="H8" s="102">
        <v>326</v>
      </c>
      <c r="I8" s="103">
        <v>679</v>
      </c>
      <c r="K8" s="238"/>
      <c r="M8" s="280"/>
      <c r="N8" s="280"/>
      <c r="O8" s="280"/>
      <c r="P8" s="280"/>
      <c r="Q8" s="280"/>
      <c r="R8" s="280"/>
      <c r="S8" s="280"/>
      <c r="T8" s="280"/>
      <c r="U8" s="280"/>
      <c r="V8" s="280"/>
      <c r="W8" s="280"/>
      <c r="X8" s="280"/>
      <c r="Y8" s="280"/>
      <c r="AA8" s="238"/>
    </row>
    <row r="9" spans="1:27" ht="52.5" customHeight="1" x14ac:dyDescent="0.25">
      <c r="A9" s="100" t="s">
        <v>87</v>
      </c>
      <c r="B9" s="8">
        <f t="shared" si="0"/>
        <v>19.2</v>
      </c>
      <c r="C9" s="8">
        <f t="shared" si="0"/>
        <v>28.5</v>
      </c>
      <c r="D9" s="8">
        <f t="shared" si="0"/>
        <v>43.5</v>
      </c>
      <c r="E9" s="8">
        <f t="shared" si="0"/>
        <v>59.1</v>
      </c>
      <c r="F9" s="8">
        <f t="shared" si="0"/>
        <v>61.9</v>
      </c>
      <c r="G9" s="101">
        <v>87</v>
      </c>
      <c r="H9" s="102">
        <v>123</v>
      </c>
      <c r="I9" s="103">
        <v>223</v>
      </c>
      <c r="K9" s="238"/>
      <c r="AA9" s="238"/>
    </row>
    <row r="10" spans="1:27" ht="66" customHeight="1" x14ac:dyDescent="0.25">
      <c r="A10" s="105" t="s">
        <v>88</v>
      </c>
      <c r="B10" s="8">
        <f t="shared" si="0"/>
        <v>83.9</v>
      </c>
      <c r="C10" s="8">
        <f t="shared" si="0"/>
        <v>164.9</v>
      </c>
      <c r="D10" s="8">
        <f t="shared" si="0"/>
        <v>222.1</v>
      </c>
      <c r="E10" s="8">
        <f t="shared" si="0"/>
        <v>315.7</v>
      </c>
      <c r="F10" s="8">
        <f t="shared" si="0"/>
        <v>565.4</v>
      </c>
      <c r="G10" s="101">
        <v>754</v>
      </c>
      <c r="H10" s="102">
        <v>1334</v>
      </c>
      <c r="I10" s="104">
        <v>2084</v>
      </c>
      <c r="K10" s="238"/>
      <c r="AA10" s="238"/>
    </row>
    <row r="11" spans="1:27" ht="69" customHeight="1" x14ac:dyDescent="0.25">
      <c r="A11" s="105" t="s">
        <v>89</v>
      </c>
      <c r="B11" s="8">
        <f t="shared" si="0"/>
        <v>21.2</v>
      </c>
      <c r="C11" s="8">
        <f t="shared" si="0"/>
        <v>38.200000000000003</v>
      </c>
      <c r="D11" s="8">
        <f t="shared" si="0"/>
        <v>56.5</v>
      </c>
      <c r="E11" s="8">
        <f t="shared" si="0"/>
        <v>92</v>
      </c>
      <c r="F11" s="8">
        <f t="shared" si="0"/>
        <v>73.8</v>
      </c>
      <c r="G11" s="101">
        <v>98</v>
      </c>
      <c r="H11" s="102">
        <v>137</v>
      </c>
      <c r="I11" s="103">
        <v>166</v>
      </c>
      <c r="K11" s="238"/>
      <c r="AA11" s="238"/>
    </row>
    <row r="12" spans="1:27" x14ac:dyDescent="0.25">
      <c r="A12" s="105" t="s">
        <v>90</v>
      </c>
      <c r="B12" s="8">
        <f t="shared" si="0"/>
        <v>5.6</v>
      </c>
      <c r="C12" s="8">
        <f t="shared" si="0"/>
        <v>7</v>
      </c>
      <c r="D12" s="8">
        <f t="shared" si="0"/>
        <v>17</v>
      </c>
      <c r="E12" s="8">
        <f t="shared" si="0"/>
        <v>12.2</v>
      </c>
      <c r="F12" s="8">
        <f t="shared" si="0"/>
        <v>14.5</v>
      </c>
      <c r="G12" s="101">
        <v>23</v>
      </c>
      <c r="H12" s="102">
        <v>32</v>
      </c>
      <c r="I12" s="103">
        <v>58</v>
      </c>
      <c r="K12" s="238"/>
      <c r="AA12" s="238"/>
    </row>
    <row r="13" spans="1:27" x14ac:dyDescent="0.25">
      <c r="A13" s="105" t="s">
        <v>91</v>
      </c>
      <c r="B13" s="8" t="s">
        <v>77</v>
      </c>
      <c r="C13" s="8">
        <f t="shared" ref="C13:F16" si="1">C30/10</f>
        <v>730.2</v>
      </c>
      <c r="D13" s="8">
        <f t="shared" si="1"/>
        <v>1354.1</v>
      </c>
      <c r="E13" s="8">
        <f t="shared" si="1"/>
        <v>1703.9</v>
      </c>
      <c r="F13" s="8">
        <f t="shared" si="1"/>
        <v>2096.9</v>
      </c>
      <c r="G13" s="101">
        <v>2475</v>
      </c>
      <c r="H13" s="102">
        <v>3058</v>
      </c>
      <c r="I13" s="104">
        <v>3485</v>
      </c>
      <c r="K13" s="238"/>
      <c r="AA13" s="238"/>
    </row>
    <row r="14" spans="1:27" ht="27.6" customHeight="1" x14ac:dyDescent="0.25">
      <c r="A14" s="105" t="s">
        <v>92</v>
      </c>
      <c r="B14" s="8">
        <f>B31/10</f>
        <v>136.5</v>
      </c>
      <c r="C14" s="8">
        <f t="shared" si="1"/>
        <v>198.4</v>
      </c>
      <c r="D14" s="8">
        <f t="shared" si="1"/>
        <v>310.10000000000002</v>
      </c>
      <c r="E14" s="8">
        <f t="shared" si="1"/>
        <v>449.9</v>
      </c>
      <c r="F14" s="8">
        <f t="shared" si="1"/>
        <v>627.5</v>
      </c>
      <c r="G14" s="101">
        <v>766</v>
      </c>
      <c r="H14" s="102">
        <v>1269</v>
      </c>
      <c r="I14" s="104">
        <v>1853</v>
      </c>
      <c r="K14" s="238"/>
      <c r="AA14" s="238"/>
    </row>
    <row r="15" spans="1:27" ht="27.6" customHeight="1" x14ac:dyDescent="0.25">
      <c r="A15" s="105" t="s">
        <v>93</v>
      </c>
      <c r="B15" s="8">
        <f>B32/10</f>
        <v>0.2</v>
      </c>
      <c r="C15" s="8">
        <f t="shared" si="1"/>
        <v>0.7</v>
      </c>
      <c r="D15" s="8">
        <f t="shared" si="1"/>
        <v>0.5</v>
      </c>
      <c r="E15" s="8">
        <f t="shared" si="1"/>
        <v>0.7</v>
      </c>
      <c r="F15" s="8">
        <f t="shared" si="1"/>
        <v>0.5</v>
      </c>
      <c r="G15" s="101">
        <v>2</v>
      </c>
      <c r="H15" s="102">
        <v>7</v>
      </c>
      <c r="I15" s="103">
        <v>1</v>
      </c>
      <c r="K15" s="238"/>
      <c r="AA15" s="238"/>
    </row>
    <row r="16" spans="1:27" ht="27.6" customHeight="1" x14ac:dyDescent="0.25">
      <c r="A16" s="105" t="s">
        <v>94</v>
      </c>
      <c r="B16" s="8">
        <f>B33/10</f>
        <v>406.1</v>
      </c>
      <c r="C16" s="8">
        <f t="shared" si="1"/>
        <v>386.8</v>
      </c>
      <c r="D16" s="8">
        <f t="shared" si="1"/>
        <v>181.2</v>
      </c>
      <c r="E16" s="8">
        <f t="shared" si="1"/>
        <v>248.6</v>
      </c>
      <c r="F16" s="8">
        <f t="shared" si="1"/>
        <v>423.8</v>
      </c>
      <c r="G16" s="101">
        <v>655</v>
      </c>
      <c r="H16" s="102">
        <v>965</v>
      </c>
      <c r="I16" s="104">
        <v>1753</v>
      </c>
      <c r="K16" s="238"/>
      <c r="AA16" s="238"/>
    </row>
    <row r="17" spans="1:27" x14ac:dyDescent="0.25">
      <c r="A17" s="106"/>
      <c r="K17" s="238"/>
      <c r="AA17" s="238"/>
    </row>
    <row r="18" spans="1:27" x14ac:dyDescent="0.25">
      <c r="K18" s="238"/>
      <c r="AA18" s="238"/>
    </row>
    <row r="19" spans="1:27" ht="20.25" customHeight="1" x14ac:dyDescent="0.25">
      <c r="B19" s="97">
        <v>2011</v>
      </c>
      <c r="C19" s="97">
        <v>2012</v>
      </c>
      <c r="D19" s="97">
        <v>2013</v>
      </c>
      <c r="E19" s="97">
        <v>2014</v>
      </c>
      <c r="F19" s="97">
        <v>2015</v>
      </c>
      <c r="K19" s="238"/>
      <c r="N19" s="282" t="s">
        <v>95</v>
      </c>
      <c r="O19" s="280"/>
      <c r="P19" s="280"/>
      <c r="Q19" s="280"/>
      <c r="R19" s="280"/>
      <c r="S19" s="280"/>
      <c r="T19" s="280"/>
      <c r="U19" s="280"/>
      <c r="V19" s="280"/>
      <c r="W19" s="280"/>
      <c r="X19" s="280"/>
      <c r="AA19" s="238"/>
    </row>
    <row r="20" spans="1:27" ht="24.95" customHeight="1" x14ac:dyDescent="0.25">
      <c r="B20" s="21">
        <f>11496/10</f>
        <v>1149.5999999999999</v>
      </c>
      <c r="C20" s="21">
        <f>22022/10</f>
        <v>2202.1999999999998</v>
      </c>
      <c r="D20" s="21">
        <f>28516/10</f>
        <v>2851.6</v>
      </c>
      <c r="E20" s="21">
        <f>35484/10</f>
        <v>3548.4</v>
      </c>
      <c r="F20" s="21">
        <f>42432/10</f>
        <v>4243.2</v>
      </c>
      <c r="K20" s="238"/>
      <c r="N20" s="280"/>
      <c r="O20" s="280"/>
      <c r="P20" s="280"/>
      <c r="Q20" s="280"/>
      <c r="R20" s="280"/>
      <c r="S20" s="280"/>
      <c r="T20" s="280"/>
      <c r="U20" s="280"/>
      <c r="V20" s="280"/>
      <c r="W20" s="280"/>
      <c r="X20" s="280"/>
      <c r="AA20" s="238"/>
    </row>
    <row r="21" spans="1:27" ht="24.95" customHeight="1" x14ac:dyDescent="0.25">
      <c r="B21" s="97"/>
      <c r="C21" s="97"/>
      <c r="D21" s="97"/>
      <c r="E21" s="97"/>
      <c r="F21" s="97"/>
      <c r="K21" s="238"/>
      <c r="Q21" s="278" t="s">
        <v>34</v>
      </c>
      <c r="R21" s="254"/>
      <c r="S21" s="254"/>
      <c r="T21" s="255"/>
      <c r="U21" s="188">
        <f>I3-B3</f>
        <v>11446.4</v>
      </c>
      <c r="AA21" s="238"/>
    </row>
    <row r="22" spans="1:27" ht="24.95" customHeight="1" x14ac:dyDescent="0.25">
      <c r="B22" s="21">
        <v>3627</v>
      </c>
      <c r="C22" s="21">
        <v>6279</v>
      </c>
      <c r="D22" s="21">
        <v>6523</v>
      </c>
      <c r="E22" s="21">
        <v>6752</v>
      </c>
      <c r="F22" s="21">
        <v>3205</v>
      </c>
      <c r="K22" s="238"/>
      <c r="Q22" s="278" t="s">
        <v>35</v>
      </c>
      <c r="R22" s="254"/>
      <c r="S22" s="254"/>
      <c r="T22" s="255"/>
      <c r="U22" s="189">
        <f>(I3/B3-1)*100</f>
        <v>995.68545581071692</v>
      </c>
      <c r="AA22" s="238"/>
    </row>
    <row r="23" spans="1:27" ht="24.95" customHeight="1" x14ac:dyDescent="0.25">
      <c r="B23" s="21">
        <v>799</v>
      </c>
      <c r="C23" s="21">
        <v>1491</v>
      </c>
      <c r="D23" s="21">
        <v>2118</v>
      </c>
      <c r="E23" s="21">
        <v>3022</v>
      </c>
      <c r="F23" s="21">
        <v>4960</v>
      </c>
      <c r="K23" s="238"/>
      <c r="Q23" s="278" t="s">
        <v>36</v>
      </c>
      <c r="R23" s="254"/>
      <c r="S23" s="254"/>
      <c r="T23" s="255"/>
      <c r="U23" s="189">
        <f>(I3/B3)^(1/9)*100</f>
        <v>130.47300206008322</v>
      </c>
      <c r="AA23" s="238"/>
    </row>
    <row r="24" spans="1:27" ht="24.95" customHeight="1" x14ac:dyDescent="0.25">
      <c r="B24" s="21">
        <v>45</v>
      </c>
      <c r="C24" s="21">
        <v>42</v>
      </c>
      <c r="D24" s="21">
        <v>130</v>
      </c>
      <c r="E24" s="21">
        <v>77</v>
      </c>
      <c r="F24" s="21">
        <v>120</v>
      </c>
      <c r="K24" s="238"/>
      <c r="Q24" s="278" t="s">
        <v>37</v>
      </c>
      <c r="R24" s="254"/>
      <c r="S24" s="254"/>
      <c r="T24" s="255"/>
      <c r="U24" s="189">
        <f>U23-100</f>
        <v>30.473002060083218</v>
      </c>
      <c r="AA24" s="238"/>
    </row>
    <row r="25" spans="1:27" x14ac:dyDescent="0.25">
      <c r="B25" s="21">
        <v>298</v>
      </c>
      <c r="C25" s="21">
        <v>646</v>
      </c>
      <c r="D25" s="21">
        <v>997</v>
      </c>
      <c r="E25" s="21">
        <v>1310</v>
      </c>
      <c r="F25" s="21">
        <v>1779</v>
      </c>
      <c r="K25" s="238"/>
      <c r="AA25" s="238"/>
    </row>
    <row r="26" spans="1:27" x14ac:dyDescent="0.25">
      <c r="B26" s="21">
        <v>192</v>
      </c>
      <c r="C26" s="21">
        <v>285</v>
      </c>
      <c r="D26" s="21">
        <v>435</v>
      </c>
      <c r="E26" s="21">
        <v>591</v>
      </c>
      <c r="F26" s="21">
        <v>619</v>
      </c>
      <c r="K26" s="238"/>
      <c r="L26" s="283"/>
      <c r="M26" s="280"/>
      <c r="N26" s="280"/>
      <c r="O26" s="280"/>
      <c r="P26" s="280"/>
      <c r="Q26" s="280"/>
      <c r="R26" s="280"/>
      <c r="S26" s="280"/>
      <c r="T26" s="280"/>
      <c r="U26" s="280"/>
      <c r="V26" s="280"/>
      <c r="W26" s="280"/>
      <c r="X26" s="280"/>
      <c r="Y26" s="280"/>
      <c r="Z26" s="280"/>
      <c r="AA26" s="238"/>
    </row>
    <row r="27" spans="1:27" x14ac:dyDescent="0.25">
      <c r="B27" s="21">
        <v>839</v>
      </c>
      <c r="C27" s="21">
        <v>1649</v>
      </c>
      <c r="D27" s="21">
        <v>2221</v>
      </c>
      <c r="E27" s="21">
        <v>3157</v>
      </c>
      <c r="F27" s="21">
        <v>5654</v>
      </c>
      <c r="K27" s="238"/>
      <c r="AA27" s="238"/>
    </row>
    <row r="28" spans="1:27" x14ac:dyDescent="0.25">
      <c r="B28" s="21">
        <v>212</v>
      </c>
      <c r="C28" s="21">
        <v>382</v>
      </c>
      <c r="D28" s="21">
        <v>565</v>
      </c>
      <c r="E28" s="21">
        <v>920</v>
      </c>
      <c r="F28" s="21">
        <v>738</v>
      </c>
      <c r="K28" s="238"/>
      <c r="AA28" s="238"/>
    </row>
    <row r="29" spans="1:27" x14ac:dyDescent="0.25">
      <c r="B29" s="21">
        <v>56</v>
      </c>
      <c r="C29" s="21">
        <v>70</v>
      </c>
      <c r="D29" s="21">
        <v>170</v>
      </c>
      <c r="E29" s="21">
        <v>122</v>
      </c>
      <c r="F29" s="21">
        <v>145</v>
      </c>
      <c r="K29" s="238"/>
      <c r="AA29" s="238"/>
    </row>
    <row r="30" spans="1:27" x14ac:dyDescent="0.25">
      <c r="B30" s="97" t="s">
        <v>96</v>
      </c>
      <c r="C30" s="21">
        <v>7302</v>
      </c>
      <c r="D30" s="21">
        <v>13541</v>
      </c>
      <c r="E30" s="21">
        <v>17039</v>
      </c>
      <c r="F30" s="21">
        <v>20969</v>
      </c>
      <c r="K30" s="238"/>
      <c r="AA30" s="238"/>
    </row>
    <row r="31" spans="1:27" x14ac:dyDescent="0.25">
      <c r="B31" s="21">
        <v>1365</v>
      </c>
      <c r="C31" s="21">
        <v>1984</v>
      </c>
      <c r="D31" s="21">
        <v>3101</v>
      </c>
      <c r="E31" s="21">
        <v>4499</v>
      </c>
      <c r="F31" s="21">
        <v>6275</v>
      </c>
      <c r="K31" s="238"/>
      <c r="AA31" s="238"/>
    </row>
    <row r="32" spans="1:27" x14ac:dyDescent="0.25">
      <c r="B32" s="19">
        <v>2</v>
      </c>
      <c r="C32" s="21">
        <v>7</v>
      </c>
      <c r="D32" s="21">
        <v>5</v>
      </c>
      <c r="E32" s="21">
        <v>7</v>
      </c>
      <c r="F32" s="21">
        <v>5</v>
      </c>
      <c r="K32" s="238"/>
      <c r="AA32" s="238"/>
    </row>
    <row r="33" spans="1:27" x14ac:dyDescent="0.25">
      <c r="B33" s="21">
        <v>4061</v>
      </c>
      <c r="C33" s="21">
        <v>3868</v>
      </c>
      <c r="D33" s="21">
        <v>1812</v>
      </c>
      <c r="E33" s="21">
        <v>2486</v>
      </c>
      <c r="F33" s="21">
        <v>4238</v>
      </c>
      <c r="K33" s="238"/>
      <c r="AA33" s="238"/>
    </row>
    <row r="34" spans="1:27" x14ac:dyDescent="0.25">
      <c r="K34" s="238"/>
      <c r="AA34" s="238"/>
    </row>
    <row r="35" spans="1:27" ht="6" customHeight="1" x14ac:dyDescent="0.25">
      <c r="A35" s="279"/>
      <c r="B35" s="280"/>
      <c r="C35" s="280"/>
      <c r="D35" s="280"/>
      <c r="E35" s="280"/>
      <c r="F35" s="280"/>
      <c r="G35" s="280"/>
      <c r="H35" s="280"/>
      <c r="I35" s="280"/>
      <c r="J35" s="280"/>
      <c r="K35" s="238"/>
      <c r="AA35" s="238"/>
    </row>
    <row r="36" spans="1:27" ht="21" customHeight="1" x14ac:dyDescent="0.25">
      <c r="K36" s="238"/>
      <c r="AA36" s="238"/>
    </row>
    <row r="37" spans="1:27" ht="18" customHeight="1" x14ac:dyDescent="0.25">
      <c r="K37" s="238"/>
      <c r="AA37" s="238"/>
    </row>
    <row r="38" spans="1:27" ht="18" customHeight="1" x14ac:dyDescent="0.25">
      <c r="K38" s="238"/>
      <c r="AA38" s="238"/>
    </row>
    <row r="39" spans="1:27" ht="18" customHeight="1" x14ac:dyDescent="0.25">
      <c r="K39" s="238"/>
      <c r="AA39" s="238"/>
    </row>
    <row r="40" spans="1:27" x14ac:dyDescent="0.25">
      <c r="K40" s="238"/>
      <c r="AA40" s="238"/>
    </row>
    <row r="41" spans="1:27" ht="15.75" customHeight="1" x14ac:dyDescent="0.25">
      <c r="K41" s="238"/>
      <c r="AA41" s="238"/>
    </row>
    <row r="42" spans="1:27" ht="32.1" customHeight="1" x14ac:dyDescent="0.25">
      <c r="K42" s="238"/>
      <c r="AA42" s="238"/>
    </row>
    <row r="43" spans="1:27" ht="32.1" customHeight="1" x14ac:dyDescent="0.25">
      <c r="K43" s="238"/>
      <c r="AA43" s="238"/>
    </row>
    <row r="44" spans="1:27" ht="32.1" customHeight="1" x14ac:dyDescent="0.25">
      <c r="K44" s="238"/>
      <c r="AA44" s="238"/>
    </row>
    <row r="45" spans="1:27" ht="32.1" customHeight="1" x14ac:dyDescent="0.25">
      <c r="K45" s="238"/>
      <c r="AA45" s="238"/>
    </row>
    <row r="46" spans="1:27" x14ac:dyDescent="0.25">
      <c r="K46" s="238"/>
      <c r="AA46" s="238"/>
    </row>
    <row r="47" spans="1:27" x14ac:dyDescent="0.25">
      <c r="K47" s="238"/>
      <c r="AA47" s="238"/>
    </row>
    <row r="48" spans="1:27" x14ac:dyDescent="0.25">
      <c r="K48" s="238"/>
      <c r="AA48" s="238"/>
    </row>
    <row r="49" spans="11:27" x14ac:dyDescent="0.25">
      <c r="K49" s="238"/>
      <c r="AA49" s="238"/>
    </row>
    <row r="50" spans="11:27" x14ac:dyDescent="0.25">
      <c r="K50" s="238"/>
      <c r="AA50" s="238"/>
    </row>
    <row r="51" spans="11:27" x14ac:dyDescent="0.25">
      <c r="K51" s="238"/>
      <c r="AA51" s="238"/>
    </row>
    <row r="52" spans="11:27" x14ac:dyDescent="0.25">
      <c r="K52" s="238"/>
      <c r="AA52" s="238"/>
    </row>
    <row r="53" spans="11:27" x14ac:dyDescent="0.25">
      <c r="K53" s="238"/>
      <c r="AA53" s="238"/>
    </row>
    <row r="54" spans="11:27" x14ac:dyDescent="0.25">
      <c r="K54" s="238"/>
      <c r="AA54" s="238"/>
    </row>
    <row r="55" spans="11:27" x14ac:dyDescent="0.25">
      <c r="K55" s="238"/>
      <c r="AA55" s="238"/>
    </row>
    <row r="56" spans="11:27" x14ac:dyDescent="0.25">
      <c r="K56" s="238"/>
      <c r="AA56" s="238"/>
    </row>
    <row r="57" spans="11:27" x14ac:dyDescent="0.25">
      <c r="K57" s="238"/>
      <c r="AA57" s="238"/>
    </row>
    <row r="58" spans="11:27" x14ac:dyDescent="0.25">
      <c r="K58" s="238"/>
      <c r="AA58" s="238"/>
    </row>
    <row r="59" spans="11:27" x14ac:dyDescent="0.25">
      <c r="K59" s="238"/>
      <c r="AA59" s="238"/>
    </row>
    <row r="60" spans="11:27" x14ac:dyDescent="0.25">
      <c r="K60" s="238"/>
      <c r="AA60" s="238"/>
    </row>
    <row r="61" spans="11:27" x14ac:dyDescent="0.25">
      <c r="K61" s="238"/>
      <c r="AA61" s="238"/>
    </row>
    <row r="62" spans="11:27" ht="6" customHeight="1" x14ac:dyDescent="0.25">
      <c r="K62" s="238"/>
      <c r="AA62" s="238"/>
    </row>
  </sheetData>
  <mergeCells count="13">
    <mergeCell ref="AA1:AA62"/>
    <mergeCell ref="A1:I1"/>
    <mergeCell ref="Q21:T21"/>
    <mergeCell ref="A35:J35"/>
    <mergeCell ref="M6:Y6"/>
    <mergeCell ref="N19:X20"/>
    <mergeCell ref="Q24:T24"/>
    <mergeCell ref="Q22:T22"/>
    <mergeCell ref="Q23:T23"/>
    <mergeCell ref="L4:Z4"/>
    <mergeCell ref="L26:Z26"/>
    <mergeCell ref="M7:Y8"/>
    <mergeCell ref="K1:K62"/>
  </mergeCells>
  <conditionalFormatting sqref="B3:F3 H3">
    <cfRule type="colorScale" priority="13">
      <colorScale>
        <cfvo type="min"/>
        <cfvo type="percentile" val="50"/>
        <cfvo type="max"/>
        <color rgb="FFF8696B"/>
        <color rgb="FFFFEB84"/>
        <color rgb="FF63BE7B"/>
      </colorScale>
    </cfRule>
  </conditionalFormatting>
  <conditionalFormatting sqref="B20:F20">
    <cfRule type="colorScale" priority="11">
      <colorScale>
        <cfvo type="min"/>
        <cfvo type="percentile" val="50"/>
        <cfvo type="max"/>
        <color rgb="FFF8696B"/>
        <color rgb="FFFFEB84"/>
        <color rgb="FF63BE7B"/>
      </colorScale>
    </cfRule>
  </conditionalFormatting>
  <conditionalFormatting sqref="B24:F24">
    <cfRule type="colorScale" priority="10">
      <colorScale>
        <cfvo type="min"/>
        <cfvo type="percentile" val="50"/>
        <cfvo type="max"/>
        <color rgb="FFF8696B"/>
        <color rgb="FFFFEB84"/>
        <color rgb="FF63BE7B"/>
      </colorScale>
    </cfRule>
  </conditionalFormatting>
  <conditionalFormatting sqref="B25:F25">
    <cfRule type="colorScale" priority="9">
      <colorScale>
        <cfvo type="min"/>
        <cfvo type="percentile" val="50"/>
        <cfvo type="max"/>
        <color rgb="FFF8696B"/>
        <color rgb="FFFFEB84"/>
        <color rgb="FF63BE7B"/>
      </colorScale>
    </cfRule>
  </conditionalFormatting>
  <conditionalFormatting sqref="B26:F26">
    <cfRule type="colorScale" priority="8">
      <colorScale>
        <cfvo type="min"/>
        <cfvo type="percentile" val="50"/>
        <cfvo type="max"/>
        <color rgb="FFF8696B"/>
        <color rgb="FFFFEB84"/>
        <color rgb="FF63BE7B"/>
      </colorScale>
    </cfRule>
  </conditionalFormatting>
  <conditionalFormatting sqref="B27:F27">
    <cfRule type="colorScale" priority="7">
      <colorScale>
        <cfvo type="min"/>
        <cfvo type="percentile" val="50"/>
        <cfvo type="max"/>
        <color rgb="FFF8696B"/>
        <color rgb="FFFFEB84"/>
        <color rgb="FF63BE7B"/>
      </colorScale>
    </cfRule>
  </conditionalFormatting>
  <conditionalFormatting sqref="B28:F28">
    <cfRule type="colorScale" priority="6">
      <colorScale>
        <cfvo type="min"/>
        <cfvo type="percentile" val="50"/>
        <cfvo type="max"/>
        <color rgb="FFF8696B"/>
        <color rgb="FFFFEB84"/>
        <color rgb="FF63BE7B"/>
      </colorScale>
    </cfRule>
  </conditionalFormatting>
  <conditionalFormatting sqref="B29:F29">
    <cfRule type="colorScale" priority="5">
      <colorScale>
        <cfvo type="min"/>
        <cfvo type="percentile" val="50"/>
        <cfvo type="max"/>
        <color rgb="FFF8696B"/>
        <color rgb="FFFFEB84"/>
        <color rgb="FF63BE7B"/>
      </colorScale>
    </cfRule>
  </conditionalFormatting>
  <conditionalFormatting sqref="B30:F30">
    <cfRule type="colorScale" priority="4">
      <colorScale>
        <cfvo type="min"/>
        <cfvo type="percentile" val="50"/>
        <cfvo type="max"/>
        <color rgb="FFF8696B"/>
        <color rgb="FFFFEB84"/>
        <color rgb="FF63BE7B"/>
      </colorScale>
    </cfRule>
  </conditionalFormatting>
  <conditionalFormatting sqref="B31:F31">
    <cfRule type="colorScale" priority="3">
      <colorScale>
        <cfvo type="min"/>
        <cfvo type="percentile" val="50"/>
        <cfvo type="max"/>
        <color rgb="FFF8696B"/>
        <color rgb="FFFFEB84"/>
        <color rgb="FF63BE7B"/>
      </colorScale>
    </cfRule>
  </conditionalFormatting>
  <conditionalFormatting sqref="B32:F32">
    <cfRule type="colorScale" priority="2">
      <colorScale>
        <cfvo type="min"/>
        <cfvo type="percentile" val="50"/>
        <cfvo type="max"/>
        <color rgb="FFF8696B"/>
        <color rgb="FFFFEB84"/>
        <color rgb="FF63BE7B"/>
      </colorScale>
    </cfRule>
  </conditionalFormatting>
  <conditionalFormatting sqref="B33:F33">
    <cfRule type="colorScale" priority="1">
      <colorScale>
        <cfvo type="min"/>
        <cfvo type="percentile" val="50"/>
        <cfvo type="max"/>
        <color rgb="FFF8696B"/>
        <color rgb="FFFFEB84"/>
        <color rgb="FF63BE7B"/>
      </colorScale>
    </cfRule>
  </conditionalFormatting>
  <conditionalFormatting sqref="H7:H16">
    <cfRule type="colorScale" priority="12">
      <colorScale>
        <cfvo type="min"/>
        <cfvo type="percentile" val="50"/>
        <cfvo type="max"/>
        <color rgb="FFF8696B"/>
        <color rgb="FFFFEB84"/>
        <color rgb="FF63BE7B"/>
      </colorScale>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50"/>
  <sheetViews>
    <sheetView showGridLines="0" workbookViewId="0">
      <selection activeCell="C19" sqref="C19"/>
    </sheetView>
  </sheetViews>
  <sheetFormatPr defaultRowHeight="15" x14ac:dyDescent="0.25"/>
  <cols>
    <col min="1" max="1" width="58" customWidth="1"/>
    <col min="2" max="7" width="11" customWidth="1"/>
    <col min="8" max="8" width="3" customWidth="1"/>
    <col min="9" max="9" width="1.7109375" customWidth="1"/>
    <col min="10" max="10" width="1.85546875" customWidth="1"/>
    <col min="11" max="12" width="11" customWidth="1"/>
    <col min="15" max="15" width="6.28515625" customWidth="1"/>
    <col min="16" max="16" width="1.7109375" customWidth="1"/>
    <col min="27" max="27" width="2.7109375" customWidth="1"/>
    <col min="32" max="32" width="1.7109375" customWidth="1"/>
  </cols>
  <sheetData>
    <row r="1" spans="1:27" x14ac:dyDescent="0.25">
      <c r="I1" s="257"/>
      <c r="AA1" s="257"/>
    </row>
    <row r="2" spans="1:27" ht="21" customHeight="1" x14ac:dyDescent="0.25">
      <c r="I2" s="238"/>
      <c r="K2" s="286" t="s">
        <v>24</v>
      </c>
      <c r="L2" s="238"/>
      <c r="M2" s="238"/>
      <c r="N2" s="238"/>
      <c r="O2" s="238"/>
      <c r="P2" s="238"/>
      <c r="Q2" s="238"/>
      <c r="R2" s="238"/>
      <c r="S2" s="238"/>
      <c r="T2" s="238"/>
      <c r="U2" s="238"/>
      <c r="V2" s="238"/>
      <c r="W2" s="238"/>
      <c r="X2" s="238"/>
      <c r="Y2" s="238"/>
      <c r="AA2" s="238"/>
    </row>
    <row r="3" spans="1:27" ht="15" customHeight="1" x14ac:dyDescent="0.25">
      <c r="I3" s="238"/>
      <c r="K3" s="274" t="s">
        <v>97</v>
      </c>
      <c r="L3" s="238"/>
      <c r="M3" s="238"/>
      <c r="N3" s="238"/>
      <c r="O3" s="238"/>
      <c r="P3" s="238"/>
      <c r="Q3" s="238"/>
      <c r="R3" s="238"/>
      <c r="S3" s="238"/>
      <c r="T3" s="238"/>
      <c r="U3" s="238"/>
      <c r="V3" s="238"/>
      <c r="W3" s="238"/>
      <c r="X3" s="238"/>
      <c r="Y3" s="238"/>
      <c r="AA3" s="238"/>
    </row>
    <row r="4" spans="1:27" ht="9.75" customHeight="1" x14ac:dyDescent="0.25">
      <c r="A4" s="197"/>
      <c r="B4" s="197"/>
      <c r="C4" s="197"/>
      <c r="D4" s="197"/>
      <c r="E4" s="197"/>
      <c r="F4" s="197"/>
      <c r="G4" s="197"/>
      <c r="H4" s="197"/>
      <c r="I4" s="238"/>
      <c r="K4" s="238"/>
      <c r="L4" s="238"/>
      <c r="M4" s="238"/>
      <c r="N4" s="238"/>
      <c r="O4" s="238"/>
      <c r="P4" s="238"/>
      <c r="Q4" s="238"/>
      <c r="R4" s="238"/>
      <c r="S4" s="238"/>
      <c r="T4" s="238"/>
      <c r="U4" s="238"/>
      <c r="V4" s="238"/>
      <c r="W4" s="238"/>
      <c r="X4" s="238"/>
      <c r="Y4" s="238"/>
      <c r="AA4" s="238"/>
    </row>
    <row r="5" spans="1:27" ht="15" customHeight="1" x14ac:dyDescent="0.25">
      <c r="I5" s="238"/>
      <c r="K5" s="238"/>
      <c r="L5" s="238"/>
      <c r="M5" s="238"/>
      <c r="N5" s="238"/>
      <c r="O5" s="238"/>
      <c r="P5" s="238"/>
      <c r="Q5" s="238"/>
      <c r="R5" s="238"/>
      <c r="S5" s="238"/>
      <c r="T5" s="238"/>
      <c r="U5" s="238"/>
      <c r="V5" s="238"/>
      <c r="W5" s="238"/>
      <c r="X5" s="238"/>
      <c r="Y5" s="238"/>
      <c r="AA5" s="238"/>
    </row>
    <row r="6" spans="1:27" ht="15" customHeight="1" x14ac:dyDescent="0.25">
      <c r="I6" s="238"/>
      <c r="K6" s="238"/>
      <c r="L6" s="238"/>
      <c r="M6" s="238"/>
      <c r="N6" s="238"/>
      <c r="O6" s="238"/>
      <c r="P6" s="238"/>
      <c r="Q6" s="238"/>
      <c r="R6" s="238"/>
      <c r="S6" s="238"/>
      <c r="T6" s="238"/>
      <c r="U6" s="238"/>
      <c r="V6" s="238"/>
      <c r="W6" s="238"/>
      <c r="X6" s="238"/>
      <c r="Y6" s="238"/>
      <c r="AA6" s="238"/>
    </row>
    <row r="7" spans="1:27" ht="15.75" customHeight="1" x14ac:dyDescent="0.25">
      <c r="A7" s="178" t="s">
        <v>98</v>
      </c>
      <c r="I7" s="238"/>
      <c r="AA7" s="238"/>
    </row>
    <row r="8" spans="1:27" ht="15.75" customHeight="1" x14ac:dyDescent="0.25">
      <c r="B8" s="173">
        <v>2019</v>
      </c>
      <c r="C8" s="173">
        <v>2020</v>
      </c>
      <c r="D8" s="173">
        <v>2021</v>
      </c>
      <c r="E8" s="173">
        <v>2022</v>
      </c>
      <c r="F8" s="173">
        <v>2023</v>
      </c>
      <c r="G8" s="173">
        <v>2024</v>
      </c>
      <c r="I8" s="238"/>
      <c r="K8" s="285" t="s">
        <v>99</v>
      </c>
      <c r="L8" s="238"/>
      <c r="M8" s="238"/>
      <c r="N8" s="238"/>
      <c r="O8" s="238"/>
      <c r="P8" s="238"/>
      <c r="Q8" s="238"/>
      <c r="R8" s="238"/>
      <c r="S8" s="238"/>
      <c r="T8" s="238"/>
      <c r="U8" s="238"/>
      <c r="V8" s="238"/>
      <c r="W8" s="238"/>
      <c r="X8" s="238"/>
      <c r="Y8" s="238"/>
      <c r="AA8" s="238"/>
    </row>
    <row r="9" spans="1:27" ht="30" customHeight="1" x14ac:dyDescent="0.25">
      <c r="A9" s="174" t="s">
        <v>100</v>
      </c>
      <c r="B9" s="176">
        <v>3977.4</v>
      </c>
      <c r="C9" s="176">
        <v>4855.5</v>
      </c>
      <c r="D9" s="176">
        <v>5950</v>
      </c>
      <c r="E9" s="176">
        <v>6082</v>
      </c>
      <c r="F9" s="176">
        <v>7985</v>
      </c>
      <c r="G9" s="176">
        <v>8692</v>
      </c>
      <c r="I9" s="238"/>
      <c r="O9" s="270" t="s">
        <v>34</v>
      </c>
      <c r="P9" s="254"/>
      <c r="Q9" s="254"/>
      <c r="R9" s="254"/>
      <c r="S9" s="254"/>
      <c r="T9" s="255"/>
      <c r="U9" s="188">
        <f>G9-B9</f>
        <v>4714.6000000000004</v>
      </c>
      <c r="AA9" s="238"/>
    </row>
    <row r="10" spans="1:27" ht="26.25" customHeight="1" x14ac:dyDescent="0.25">
      <c r="A10" s="174" t="s">
        <v>101</v>
      </c>
      <c r="B10" s="176">
        <v>3399.2</v>
      </c>
      <c r="C10" s="176">
        <v>3985.1</v>
      </c>
      <c r="D10" s="176">
        <v>4850</v>
      </c>
      <c r="E10" s="176">
        <v>4694</v>
      </c>
      <c r="F10" s="176">
        <v>6415</v>
      </c>
      <c r="G10" s="176">
        <v>7096</v>
      </c>
      <c r="I10" s="238"/>
      <c r="O10" s="270" t="s">
        <v>35</v>
      </c>
      <c r="P10" s="254"/>
      <c r="Q10" s="254"/>
      <c r="R10" s="254"/>
      <c r="S10" s="254"/>
      <c r="T10" s="255"/>
      <c r="U10" s="189">
        <f>(G9/B9-1)*100</f>
        <v>118.53472117463669</v>
      </c>
      <c r="AA10" s="238"/>
    </row>
    <row r="11" spans="1:27" ht="27" customHeight="1" x14ac:dyDescent="0.25">
      <c r="A11" s="174" t="s">
        <v>102</v>
      </c>
      <c r="B11" s="176">
        <v>578.20000000000005</v>
      </c>
      <c r="C11" s="176">
        <v>870.4</v>
      </c>
      <c r="D11" s="176">
        <v>1100</v>
      </c>
      <c r="E11" s="176">
        <v>1388</v>
      </c>
      <c r="F11" s="176">
        <v>1570</v>
      </c>
      <c r="G11" s="176">
        <v>1596</v>
      </c>
      <c r="I11" s="238"/>
      <c r="O11" s="270" t="s">
        <v>36</v>
      </c>
      <c r="P11" s="254"/>
      <c r="Q11" s="254"/>
      <c r="R11" s="254"/>
      <c r="S11" s="254"/>
      <c r="T11" s="255"/>
      <c r="U11" s="189">
        <f>(G9/B9)^(1/5)*100</f>
        <v>116.92411452522123</v>
      </c>
      <c r="AA11" s="238"/>
    </row>
    <row r="12" spans="1:27" ht="27.75" customHeight="1" x14ac:dyDescent="0.25">
      <c r="I12" s="238"/>
      <c r="O12" s="270" t="s">
        <v>37</v>
      </c>
      <c r="P12" s="254"/>
      <c r="Q12" s="254"/>
      <c r="R12" s="254"/>
      <c r="S12" s="254"/>
      <c r="T12" s="255"/>
      <c r="U12" s="189">
        <f>U11-100</f>
        <v>16.924114525221228</v>
      </c>
      <c r="AA12" s="238"/>
    </row>
    <row r="13" spans="1:27" ht="6" customHeight="1" x14ac:dyDescent="0.25">
      <c r="A13" s="279"/>
      <c r="B13" s="238"/>
      <c r="C13" s="238"/>
      <c r="D13" s="238"/>
      <c r="E13" s="238"/>
      <c r="F13" s="238"/>
      <c r="G13" s="238"/>
      <c r="H13" s="238"/>
      <c r="I13" s="238"/>
      <c r="AA13" s="238"/>
    </row>
    <row r="14" spans="1:27" ht="21" customHeight="1" x14ac:dyDescent="0.25">
      <c r="I14" s="238"/>
      <c r="AA14" s="238"/>
    </row>
    <row r="15" spans="1:27" ht="18" customHeight="1" x14ac:dyDescent="0.25">
      <c r="I15" s="238"/>
      <c r="AA15" s="238"/>
    </row>
    <row r="16" spans="1:27" ht="18" customHeight="1" x14ac:dyDescent="0.25">
      <c r="I16" s="238"/>
      <c r="AA16" s="238"/>
    </row>
    <row r="17" spans="9:27" ht="18" customHeight="1" x14ac:dyDescent="0.25">
      <c r="I17" s="238"/>
      <c r="AA17" s="238"/>
    </row>
    <row r="18" spans="9:27" x14ac:dyDescent="0.25">
      <c r="I18" s="238"/>
      <c r="AA18" s="238"/>
    </row>
    <row r="19" spans="9:27" ht="15.75" customHeight="1" x14ac:dyDescent="0.25">
      <c r="I19" s="238"/>
      <c r="AA19" s="238"/>
    </row>
    <row r="20" spans="9:27" ht="32.1" customHeight="1" x14ac:dyDescent="0.25">
      <c r="I20" s="238"/>
      <c r="AA20" s="238"/>
    </row>
    <row r="21" spans="9:27" ht="32.1" customHeight="1" x14ac:dyDescent="0.25">
      <c r="I21" s="238"/>
      <c r="AA21" s="238"/>
    </row>
    <row r="22" spans="9:27" ht="32.1" customHeight="1" x14ac:dyDescent="0.25">
      <c r="I22" s="238"/>
      <c r="AA22" s="238"/>
    </row>
    <row r="23" spans="9:27" ht="32.1" customHeight="1" x14ac:dyDescent="0.25">
      <c r="I23" s="238"/>
      <c r="AA23" s="238"/>
    </row>
    <row r="24" spans="9:27" x14ac:dyDescent="0.25">
      <c r="I24" s="238"/>
      <c r="AA24" s="238"/>
    </row>
    <row r="25" spans="9:27" x14ac:dyDescent="0.25">
      <c r="I25" s="238"/>
      <c r="AA25" s="238"/>
    </row>
    <row r="26" spans="9:27" x14ac:dyDescent="0.25">
      <c r="I26" s="238"/>
      <c r="AA26" s="238"/>
    </row>
    <row r="27" spans="9:27" x14ac:dyDescent="0.25">
      <c r="I27" s="238"/>
      <c r="AA27" s="238"/>
    </row>
    <row r="28" spans="9:27" x14ac:dyDescent="0.25">
      <c r="I28" s="238"/>
      <c r="AA28" s="238"/>
    </row>
    <row r="29" spans="9:27" x14ac:dyDescent="0.25">
      <c r="I29" s="238"/>
      <c r="AA29" s="238"/>
    </row>
    <row r="30" spans="9:27" x14ac:dyDescent="0.25">
      <c r="I30" s="238"/>
      <c r="AA30" s="238"/>
    </row>
    <row r="31" spans="9:27" x14ac:dyDescent="0.25">
      <c r="I31" s="238"/>
      <c r="AA31" s="238"/>
    </row>
    <row r="32" spans="9:27" x14ac:dyDescent="0.25">
      <c r="I32" s="238"/>
      <c r="AA32" s="238"/>
    </row>
    <row r="33" spans="9:27" ht="9.75" customHeight="1" x14ac:dyDescent="0.25">
      <c r="I33" s="238"/>
      <c r="J33" s="257"/>
      <c r="K33" s="238"/>
      <c r="L33" s="238"/>
      <c r="M33" s="238"/>
      <c r="N33" s="238"/>
      <c r="O33" s="238"/>
      <c r="P33" s="238"/>
      <c r="Q33" s="238"/>
      <c r="R33" s="238"/>
      <c r="S33" s="238"/>
      <c r="T33" s="238"/>
      <c r="U33" s="238"/>
      <c r="V33" s="238"/>
      <c r="W33" s="238"/>
      <c r="X33" s="238"/>
      <c r="Y33" s="238"/>
      <c r="Z33" s="238"/>
      <c r="AA33" s="238"/>
    </row>
    <row r="34" spans="9:27" x14ac:dyDescent="0.25">
      <c r="I34" s="238"/>
    </row>
    <row r="35" spans="9:27" x14ac:dyDescent="0.25">
      <c r="I35" s="238"/>
    </row>
    <row r="36" spans="9:27" x14ac:dyDescent="0.25">
      <c r="I36" s="238"/>
    </row>
    <row r="37" spans="9:27" x14ac:dyDescent="0.25">
      <c r="I37" s="238"/>
    </row>
    <row r="38" spans="9:27" x14ac:dyDescent="0.25">
      <c r="I38" s="238"/>
    </row>
    <row r="39" spans="9:27" x14ac:dyDescent="0.25">
      <c r="I39" s="238"/>
    </row>
    <row r="40" spans="9:27" ht="6" customHeight="1" x14ac:dyDescent="0.25">
      <c r="I40" s="238"/>
    </row>
    <row r="41" spans="9:27" x14ac:dyDescent="0.25">
      <c r="I41" s="238"/>
    </row>
    <row r="42" spans="9:27" x14ac:dyDescent="0.25">
      <c r="I42" s="238"/>
    </row>
    <row r="43" spans="9:27" x14ac:dyDescent="0.25">
      <c r="I43" s="238"/>
    </row>
    <row r="44" spans="9:27" x14ac:dyDescent="0.25">
      <c r="I44" s="238"/>
    </row>
    <row r="45" spans="9:27" x14ac:dyDescent="0.25">
      <c r="I45" s="238"/>
    </row>
    <row r="46" spans="9:27" x14ac:dyDescent="0.25">
      <c r="I46" s="238"/>
    </row>
    <row r="47" spans="9:27" x14ac:dyDescent="0.25">
      <c r="I47" s="238"/>
    </row>
    <row r="48" spans="9:27" x14ac:dyDescent="0.25">
      <c r="I48" s="238"/>
    </row>
    <row r="49" spans="9:9" x14ac:dyDescent="0.25">
      <c r="I49" s="238"/>
    </row>
    <row r="50" spans="9:9" x14ac:dyDescent="0.25">
      <c r="I50" s="238"/>
    </row>
  </sheetData>
  <mergeCells count="11">
    <mergeCell ref="AA1:AA33"/>
    <mergeCell ref="K8:Y8"/>
    <mergeCell ref="O9:T9"/>
    <mergeCell ref="K2:Y2"/>
    <mergeCell ref="O12:T12"/>
    <mergeCell ref="A13:H13"/>
    <mergeCell ref="O11:T11"/>
    <mergeCell ref="J33:Z33"/>
    <mergeCell ref="K3:Y6"/>
    <mergeCell ref="O10:T10"/>
    <mergeCell ref="I1:I50"/>
  </mergeCell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E57"/>
  <sheetViews>
    <sheetView showGridLines="0" topLeftCell="B1" zoomScale="85" zoomScaleNormal="85" workbookViewId="0">
      <selection activeCell="L13" sqref="L13"/>
    </sheetView>
  </sheetViews>
  <sheetFormatPr defaultColWidth="10" defaultRowHeight="15" x14ac:dyDescent="0.25"/>
  <cols>
    <col min="1" max="1" width="46.5703125" style="107" customWidth="1"/>
    <col min="2" max="14" width="10" style="107" customWidth="1"/>
    <col min="15" max="15" width="1.7109375" customWidth="1"/>
    <col min="16" max="19" width="10" style="107" customWidth="1"/>
    <col min="20" max="20" width="7.7109375" style="107" customWidth="1"/>
    <col min="21" max="21" width="6.42578125" style="107" customWidth="1"/>
    <col min="22" max="30" width="10" style="107" customWidth="1"/>
    <col min="31" max="31" width="1.7109375" customWidth="1"/>
    <col min="32" max="33" width="10" style="107" customWidth="1"/>
    <col min="34" max="16384" width="10" style="107"/>
  </cols>
  <sheetData>
    <row r="1" spans="1:31" ht="18.600000000000001" customHeight="1" thickBot="1" x14ac:dyDescent="0.35">
      <c r="A1" s="287" t="s">
        <v>103</v>
      </c>
      <c r="B1" s="249"/>
      <c r="C1" s="249"/>
      <c r="D1" s="249"/>
      <c r="E1" s="249"/>
      <c r="F1" s="249"/>
      <c r="G1" s="250"/>
      <c r="O1" s="237"/>
      <c r="AE1" s="237"/>
    </row>
    <row r="2" spans="1:31" ht="21" customHeight="1" x14ac:dyDescent="0.25">
      <c r="A2" s="25"/>
      <c r="B2" s="26">
        <v>2011</v>
      </c>
      <c r="C2" s="26">
        <v>2012</v>
      </c>
      <c r="D2" s="26">
        <v>2013</v>
      </c>
      <c r="E2" s="26">
        <v>2014</v>
      </c>
      <c r="F2" s="26">
        <v>2015</v>
      </c>
      <c r="G2" s="27">
        <v>2016</v>
      </c>
      <c r="O2" s="238"/>
      <c r="Q2" s="281" t="s">
        <v>24</v>
      </c>
      <c r="R2" s="289"/>
      <c r="S2" s="289"/>
      <c r="T2" s="289"/>
      <c r="U2" s="289"/>
      <c r="V2" s="289"/>
      <c r="W2" s="289"/>
      <c r="X2" s="289"/>
      <c r="Y2" s="289"/>
      <c r="Z2" s="289"/>
      <c r="AA2" s="289"/>
      <c r="AB2" s="289"/>
      <c r="AC2" s="289"/>
      <c r="AE2" s="238"/>
    </row>
    <row r="3" spans="1:31" ht="15" customHeight="1" x14ac:dyDescent="0.25">
      <c r="A3" s="28" t="s">
        <v>104</v>
      </c>
      <c r="B3" s="29">
        <v>176.4</v>
      </c>
      <c r="C3" s="29">
        <v>300.5</v>
      </c>
      <c r="D3" s="29">
        <v>257</v>
      </c>
      <c r="E3" s="29">
        <v>227.6</v>
      </c>
      <c r="F3" s="29">
        <v>158.4</v>
      </c>
      <c r="G3" s="36">
        <v>166</v>
      </c>
      <c r="O3" s="238"/>
      <c r="Q3" s="274" t="s">
        <v>105</v>
      </c>
      <c r="R3" s="289"/>
      <c r="S3" s="289"/>
      <c r="T3" s="289"/>
      <c r="U3" s="289"/>
      <c r="V3" s="289"/>
      <c r="W3" s="289"/>
      <c r="X3" s="289"/>
      <c r="Y3" s="289"/>
      <c r="Z3" s="289"/>
      <c r="AA3" s="289"/>
      <c r="AB3" s="289"/>
      <c r="AC3" s="289"/>
      <c r="AE3" s="238"/>
    </row>
    <row r="4" spans="1:31" ht="24.6" customHeight="1" x14ac:dyDescent="0.25">
      <c r="A4" s="28" t="s">
        <v>106</v>
      </c>
      <c r="B4" s="29">
        <v>10.8</v>
      </c>
      <c r="C4" s="29">
        <v>16.7</v>
      </c>
      <c r="D4" s="29">
        <v>21.9</v>
      </c>
      <c r="E4" s="29">
        <v>26.9</v>
      </c>
      <c r="F4" s="29">
        <v>20.2</v>
      </c>
      <c r="G4" s="36">
        <v>15.2</v>
      </c>
      <c r="O4" s="238"/>
      <c r="Q4" s="289"/>
      <c r="R4" s="289"/>
      <c r="S4" s="289"/>
      <c r="T4" s="289"/>
      <c r="U4" s="289"/>
      <c r="V4" s="289"/>
      <c r="W4" s="289"/>
      <c r="X4" s="289"/>
      <c r="Y4" s="289"/>
      <c r="Z4" s="289"/>
      <c r="AA4" s="289"/>
      <c r="AB4" s="289"/>
      <c r="AC4" s="289"/>
      <c r="AE4" s="238"/>
    </row>
    <row r="5" spans="1:31" ht="26.45" customHeight="1" x14ac:dyDescent="0.25">
      <c r="A5" s="28" t="s">
        <v>107</v>
      </c>
      <c r="B5" s="29">
        <v>13.5</v>
      </c>
      <c r="C5" s="29">
        <v>17</v>
      </c>
      <c r="D5" s="29">
        <v>29.7</v>
      </c>
      <c r="E5" s="29">
        <v>50.5</v>
      </c>
      <c r="F5" s="35">
        <v>23.5</v>
      </c>
      <c r="G5" s="108">
        <v>21.1</v>
      </c>
      <c r="O5" s="238"/>
      <c r="Q5" s="289"/>
      <c r="R5" s="289"/>
      <c r="S5" s="289"/>
      <c r="T5" s="289"/>
      <c r="U5" s="289"/>
      <c r="V5" s="289"/>
      <c r="W5" s="289"/>
      <c r="X5" s="289"/>
      <c r="Y5" s="289"/>
      <c r="Z5" s="289"/>
      <c r="AA5" s="289"/>
      <c r="AB5" s="289"/>
      <c r="AC5" s="289"/>
      <c r="AE5" s="238"/>
    </row>
    <row r="6" spans="1:31" ht="24.6" customHeight="1" x14ac:dyDescent="0.25">
      <c r="A6" s="28" t="s">
        <v>108</v>
      </c>
      <c r="B6" s="29">
        <v>62.7</v>
      </c>
      <c r="C6" s="29">
        <v>158.9</v>
      </c>
      <c r="D6" s="29">
        <v>84.2</v>
      </c>
      <c r="E6" s="29">
        <v>25.2</v>
      </c>
      <c r="F6" s="35">
        <v>7.6</v>
      </c>
      <c r="G6" s="108">
        <v>30.3</v>
      </c>
      <c r="O6" s="238"/>
      <c r="AE6" s="238"/>
    </row>
    <row r="7" spans="1:31" ht="24.6" customHeight="1" x14ac:dyDescent="0.25">
      <c r="A7" s="28" t="s">
        <v>109</v>
      </c>
      <c r="B7" s="29">
        <v>89.3</v>
      </c>
      <c r="C7" s="29">
        <v>107.9</v>
      </c>
      <c r="D7" s="29">
        <v>121.2</v>
      </c>
      <c r="E7" s="29">
        <v>125</v>
      </c>
      <c r="F7" s="35">
        <v>107.1</v>
      </c>
      <c r="G7" s="108">
        <v>99.4</v>
      </c>
      <c r="O7" s="238"/>
      <c r="AE7" s="238"/>
    </row>
    <row r="8" spans="1:31" ht="25.5" customHeight="1" x14ac:dyDescent="0.25">
      <c r="A8" s="28" t="s">
        <v>110</v>
      </c>
      <c r="B8" s="29">
        <v>0.4</v>
      </c>
      <c r="C8" s="29">
        <v>0.7</v>
      </c>
      <c r="D8" s="29">
        <v>0.7</v>
      </c>
      <c r="E8" s="29">
        <v>0.6</v>
      </c>
      <c r="F8" s="35">
        <v>0.6</v>
      </c>
      <c r="G8" s="108">
        <v>0.7</v>
      </c>
      <c r="O8" s="238"/>
      <c r="Q8" s="285" t="s">
        <v>111</v>
      </c>
      <c r="R8" s="289"/>
      <c r="S8" s="289"/>
      <c r="T8" s="289"/>
      <c r="U8" s="289"/>
      <c r="V8" s="289"/>
      <c r="W8" s="289"/>
      <c r="X8" s="289"/>
      <c r="Y8" s="289"/>
      <c r="Z8" s="289"/>
      <c r="AA8" s="289"/>
      <c r="AB8" s="289"/>
      <c r="AC8" s="289"/>
      <c r="AE8" s="238"/>
    </row>
    <row r="9" spans="1:31" ht="16.5" customHeight="1" x14ac:dyDescent="0.25">
      <c r="O9" s="238"/>
      <c r="U9" s="270" t="s">
        <v>34</v>
      </c>
      <c r="V9" s="254"/>
      <c r="W9" s="254"/>
      <c r="X9" s="254"/>
      <c r="Y9" s="255"/>
      <c r="Z9" s="188">
        <f>I23-B23</f>
        <v>12.599999999999966</v>
      </c>
      <c r="AE9" s="238"/>
    </row>
    <row r="10" spans="1:31" ht="15" customHeight="1" thickBot="1" x14ac:dyDescent="0.3">
      <c r="O10" s="238"/>
      <c r="U10" s="270" t="s">
        <v>35</v>
      </c>
      <c r="V10" s="254"/>
      <c r="W10" s="254"/>
      <c r="X10" s="254"/>
      <c r="Y10" s="255"/>
      <c r="Z10" s="189">
        <f>(I23/B23-1)*100</f>
        <v>3.2118276828957404</v>
      </c>
      <c r="AE10" s="238"/>
    </row>
    <row r="11" spans="1:31" ht="18.600000000000001" customHeight="1" thickBot="1" x14ac:dyDescent="0.35">
      <c r="A11" s="287" t="s">
        <v>112</v>
      </c>
      <c r="B11" s="249"/>
      <c r="C11" s="249"/>
      <c r="D11" s="249"/>
      <c r="E11" s="249"/>
      <c r="F11" s="249"/>
      <c r="G11" s="250"/>
      <c r="O11" s="238"/>
      <c r="U11" s="270" t="s">
        <v>36</v>
      </c>
      <c r="V11" s="254"/>
      <c r="W11" s="254"/>
      <c r="X11" s="254"/>
      <c r="Y11" s="255"/>
      <c r="Z11" s="189">
        <f>(I23/B23)^(1/7)*100</f>
        <v>100.45263947197385</v>
      </c>
      <c r="AE11" s="238"/>
    </row>
    <row r="12" spans="1:31" x14ac:dyDescent="0.25">
      <c r="A12" s="25"/>
      <c r="B12" s="26">
        <v>2013</v>
      </c>
      <c r="C12" s="26">
        <v>2014</v>
      </c>
      <c r="D12" s="26">
        <v>2015</v>
      </c>
      <c r="E12" s="26">
        <v>2016</v>
      </c>
      <c r="F12" s="26">
        <v>2017</v>
      </c>
      <c r="G12" s="27">
        <v>2018</v>
      </c>
      <c r="O12" s="238"/>
      <c r="U12" s="270" t="s">
        <v>37</v>
      </c>
      <c r="V12" s="254"/>
      <c r="W12" s="254"/>
      <c r="X12" s="254"/>
      <c r="Y12" s="255"/>
      <c r="Z12" s="189">
        <f>Z11-100</f>
        <v>0.45263947197385335</v>
      </c>
      <c r="AE12" s="238"/>
    </row>
    <row r="13" spans="1:31" x14ac:dyDescent="0.25">
      <c r="A13" s="28" t="s">
        <v>104</v>
      </c>
      <c r="B13" s="29">
        <v>392.3</v>
      </c>
      <c r="C13" s="29">
        <v>341.2</v>
      </c>
      <c r="D13" s="29">
        <v>232.4</v>
      </c>
      <c r="E13" s="29">
        <v>259.2</v>
      </c>
      <c r="F13" s="29">
        <v>299.8</v>
      </c>
      <c r="G13" s="36">
        <v>346.2</v>
      </c>
      <c r="O13" s="238"/>
      <c r="AE13" s="238"/>
    </row>
    <row r="14" spans="1:31" ht="26.45" customHeight="1" x14ac:dyDescent="0.25">
      <c r="A14" s="28" t="s">
        <v>113</v>
      </c>
      <c r="B14" s="29">
        <v>23.9</v>
      </c>
      <c r="C14" s="29">
        <v>27</v>
      </c>
      <c r="D14" s="29">
        <v>20.100000000000001</v>
      </c>
      <c r="E14" s="29">
        <v>15.1</v>
      </c>
      <c r="F14" s="29">
        <v>25.1</v>
      </c>
      <c r="G14" s="36">
        <v>28.3</v>
      </c>
      <c r="O14" s="238"/>
      <c r="AE14" s="238"/>
    </row>
    <row r="15" spans="1:31" ht="26.45" customHeight="1" x14ac:dyDescent="0.25">
      <c r="A15" s="28" t="s">
        <v>107</v>
      </c>
      <c r="B15" s="29">
        <v>24.3</v>
      </c>
      <c r="C15" s="29">
        <v>44.2</v>
      </c>
      <c r="D15" s="29">
        <v>17.5</v>
      </c>
      <c r="E15" s="29">
        <v>15.5</v>
      </c>
      <c r="F15" s="35">
        <v>34.9</v>
      </c>
      <c r="G15" s="108">
        <v>32.6</v>
      </c>
      <c r="O15" s="238"/>
      <c r="AE15" s="238"/>
    </row>
    <row r="16" spans="1:31" ht="26.45" customHeight="1" x14ac:dyDescent="0.25">
      <c r="A16" s="28" t="s">
        <v>114</v>
      </c>
      <c r="B16" s="29">
        <v>82</v>
      </c>
      <c r="C16" s="29">
        <v>24.8</v>
      </c>
      <c r="D16" s="29">
        <v>7.3</v>
      </c>
      <c r="E16" s="29">
        <v>30</v>
      </c>
      <c r="F16" s="35">
        <v>63.1</v>
      </c>
      <c r="G16" s="108">
        <v>106.2</v>
      </c>
      <c r="O16" s="238"/>
      <c r="AE16" s="238"/>
    </row>
    <row r="17" spans="1:31" ht="24.6" customHeight="1" x14ac:dyDescent="0.25">
      <c r="A17" s="28" t="s">
        <v>109</v>
      </c>
      <c r="B17" s="29">
        <v>262</v>
      </c>
      <c r="C17" s="29">
        <v>245.3</v>
      </c>
      <c r="D17" s="29">
        <v>187.5</v>
      </c>
      <c r="E17" s="29">
        <v>198.6</v>
      </c>
      <c r="F17" s="35">
        <v>176.7</v>
      </c>
      <c r="G17" s="108">
        <v>179.1</v>
      </c>
      <c r="O17" s="238"/>
      <c r="AE17" s="238"/>
    </row>
    <row r="18" spans="1:31" ht="39.6" customHeight="1" x14ac:dyDescent="0.25">
      <c r="A18" s="28" t="s">
        <v>110</v>
      </c>
      <c r="B18" s="29">
        <v>1.1000000000000001</v>
      </c>
      <c r="C18" s="29">
        <v>0.9</v>
      </c>
      <c r="D18" s="29">
        <v>0.9</v>
      </c>
      <c r="E18" s="29">
        <v>1.1000000000000001</v>
      </c>
      <c r="F18" s="35">
        <v>1</v>
      </c>
      <c r="G18" s="108">
        <v>1</v>
      </c>
      <c r="O18" s="238"/>
      <c r="AE18" s="238"/>
    </row>
    <row r="19" spans="1:31" x14ac:dyDescent="0.25">
      <c r="O19" s="238"/>
      <c r="AE19" s="238"/>
    </row>
    <row r="20" spans="1:31" ht="15" customHeight="1" thickBot="1" x14ac:dyDescent="0.3">
      <c r="O20" s="238"/>
      <c r="AE20" s="238"/>
    </row>
    <row r="21" spans="1:31" ht="18.600000000000001" customHeight="1" thickBot="1" x14ac:dyDescent="0.35">
      <c r="A21" s="287" t="s">
        <v>115</v>
      </c>
      <c r="B21" s="249"/>
      <c r="C21" s="249"/>
      <c r="D21" s="249"/>
      <c r="E21" s="249"/>
      <c r="F21" s="249"/>
      <c r="G21" s="249"/>
      <c r="H21" s="249"/>
      <c r="I21" s="250"/>
      <c r="O21" s="238"/>
      <c r="AE21" s="238"/>
    </row>
    <row r="22" spans="1:31" x14ac:dyDescent="0.25">
      <c r="A22" s="25"/>
      <c r="B22" s="26">
        <v>2013</v>
      </c>
      <c r="C22" s="26">
        <v>2014</v>
      </c>
      <c r="D22" s="26">
        <v>2015</v>
      </c>
      <c r="E22" s="26">
        <v>2016</v>
      </c>
      <c r="F22" s="26">
        <v>2017</v>
      </c>
      <c r="G22" s="109">
        <v>2018</v>
      </c>
      <c r="H22" s="27">
        <v>2019</v>
      </c>
      <c r="I22" s="27">
        <v>2020</v>
      </c>
      <c r="O22" s="238"/>
      <c r="AE22" s="238"/>
    </row>
    <row r="23" spans="1:31" x14ac:dyDescent="0.25">
      <c r="A23" s="28" t="s">
        <v>104</v>
      </c>
      <c r="B23" s="29">
        <v>392.3</v>
      </c>
      <c r="C23" s="29">
        <v>341.2</v>
      </c>
      <c r="D23" s="29">
        <v>232.4</v>
      </c>
      <c r="E23" s="29">
        <v>259.2</v>
      </c>
      <c r="F23" s="29">
        <v>299.8</v>
      </c>
      <c r="G23" s="110">
        <v>346.2</v>
      </c>
      <c r="H23" s="36">
        <v>374.4</v>
      </c>
      <c r="I23" s="36">
        <v>404.9</v>
      </c>
      <c r="O23" s="238"/>
      <c r="AE23" s="238"/>
    </row>
    <row r="24" spans="1:31" ht="26.45" customHeight="1" x14ac:dyDescent="0.25">
      <c r="A24" s="28" t="s">
        <v>113</v>
      </c>
      <c r="B24" s="29">
        <v>23.9</v>
      </c>
      <c r="C24" s="29">
        <v>27</v>
      </c>
      <c r="D24" s="29">
        <v>20.100000000000001</v>
      </c>
      <c r="E24" s="29">
        <v>15.1</v>
      </c>
      <c r="F24" s="29">
        <v>25.1</v>
      </c>
      <c r="G24" s="110">
        <v>28.3</v>
      </c>
      <c r="H24" s="36">
        <v>28.8</v>
      </c>
      <c r="I24" s="36">
        <v>32.9</v>
      </c>
      <c r="O24" s="238"/>
      <c r="AE24" s="238"/>
    </row>
    <row r="25" spans="1:31" ht="26.45" customHeight="1" x14ac:dyDescent="0.25">
      <c r="A25" s="28" t="s">
        <v>107</v>
      </c>
      <c r="B25" s="29">
        <v>24.3</v>
      </c>
      <c r="C25" s="29">
        <v>44.2</v>
      </c>
      <c r="D25" s="29">
        <v>17.5</v>
      </c>
      <c r="E25" s="29">
        <v>15.5</v>
      </c>
      <c r="F25" s="35">
        <v>34.9</v>
      </c>
      <c r="G25" s="111">
        <v>32.6</v>
      </c>
      <c r="H25" s="108">
        <v>36.1</v>
      </c>
      <c r="I25" s="108">
        <v>44.8</v>
      </c>
      <c r="O25" s="238"/>
      <c r="AE25" s="238"/>
    </row>
    <row r="26" spans="1:31" ht="26.45" customHeight="1" x14ac:dyDescent="0.25">
      <c r="A26" s="28" t="s">
        <v>114</v>
      </c>
      <c r="B26" s="29">
        <v>82</v>
      </c>
      <c r="C26" s="29">
        <v>24.8</v>
      </c>
      <c r="D26" s="29">
        <v>7.3</v>
      </c>
      <c r="E26" s="29">
        <v>30</v>
      </c>
      <c r="F26" s="35">
        <v>63.1</v>
      </c>
      <c r="G26" s="111">
        <v>106.2</v>
      </c>
      <c r="H26" s="108">
        <v>136</v>
      </c>
      <c r="I26" s="108">
        <v>172.4</v>
      </c>
      <c r="O26" s="238"/>
      <c r="AE26" s="238"/>
    </row>
    <row r="27" spans="1:31" ht="24.6" customHeight="1" x14ac:dyDescent="0.25">
      <c r="A27" s="28" t="s">
        <v>109</v>
      </c>
      <c r="B27" s="29">
        <v>262</v>
      </c>
      <c r="C27" s="29">
        <v>245.3</v>
      </c>
      <c r="D27" s="29">
        <v>187.5</v>
      </c>
      <c r="E27" s="29">
        <v>198.6</v>
      </c>
      <c r="F27" s="35">
        <v>176.7</v>
      </c>
      <c r="G27" s="111">
        <v>179.1</v>
      </c>
      <c r="H27" s="108">
        <v>173.5</v>
      </c>
      <c r="I27" s="108">
        <v>154.69999999999999</v>
      </c>
      <c r="O27" s="238"/>
      <c r="AE27" s="238"/>
    </row>
    <row r="28" spans="1:31" ht="39.6" customHeight="1" x14ac:dyDescent="0.25">
      <c r="A28" s="28" t="s">
        <v>110</v>
      </c>
      <c r="B28" s="29">
        <v>1.1000000000000001</v>
      </c>
      <c r="C28" s="29">
        <v>0.9</v>
      </c>
      <c r="D28" s="29">
        <v>0.9</v>
      </c>
      <c r="E28" s="29">
        <v>1.1000000000000001</v>
      </c>
      <c r="F28" s="35">
        <v>1</v>
      </c>
      <c r="G28" s="111">
        <v>1</v>
      </c>
      <c r="H28" s="108">
        <v>1.1000000000000001</v>
      </c>
      <c r="I28" s="108">
        <v>1.4</v>
      </c>
      <c r="O28" s="238"/>
      <c r="AE28" s="238"/>
    </row>
    <row r="29" spans="1:31" x14ac:dyDescent="0.25">
      <c r="O29" s="238"/>
      <c r="AE29" s="238"/>
    </row>
    <row r="30" spans="1:31" ht="6" customHeight="1" x14ac:dyDescent="0.25">
      <c r="A30" s="247"/>
      <c r="B30" s="289"/>
      <c r="C30" s="289"/>
      <c r="D30" s="289"/>
      <c r="E30" s="289"/>
      <c r="F30" s="289"/>
      <c r="G30" s="289"/>
      <c r="H30" s="289"/>
      <c r="I30" s="289"/>
      <c r="J30" s="289"/>
      <c r="K30" s="289"/>
      <c r="L30" s="289"/>
      <c r="M30" s="289"/>
      <c r="N30" s="289"/>
      <c r="O30" s="238"/>
      <c r="P30" s="288"/>
      <c r="Q30" s="289"/>
      <c r="R30" s="289"/>
      <c r="S30" s="289"/>
      <c r="T30" s="289"/>
      <c r="U30" s="289"/>
      <c r="V30" s="289"/>
      <c r="W30" s="289"/>
      <c r="X30" s="289"/>
      <c r="Y30" s="289"/>
      <c r="Z30" s="289"/>
      <c r="AA30" s="289"/>
      <c r="AB30" s="289"/>
      <c r="AC30" s="289"/>
      <c r="AD30" s="289"/>
      <c r="AE30" s="238"/>
    </row>
    <row r="31" spans="1:31" ht="21" customHeight="1" x14ac:dyDescent="0.25">
      <c r="O31" s="238"/>
      <c r="AE31" s="238"/>
    </row>
    <row r="32" spans="1:31" ht="18" customHeight="1" x14ac:dyDescent="0.25">
      <c r="O32" s="238"/>
      <c r="AE32" s="238"/>
    </row>
    <row r="33" spans="15:31" ht="18" customHeight="1" x14ac:dyDescent="0.25">
      <c r="O33" s="238"/>
      <c r="AE33" s="238"/>
    </row>
    <row r="34" spans="15:31" ht="18" customHeight="1" x14ac:dyDescent="0.25">
      <c r="O34" s="238"/>
      <c r="AE34" s="238"/>
    </row>
    <row r="35" spans="15:31" x14ac:dyDescent="0.25">
      <c r="O35" s="238"/>
      <c r="AE35" s="238"/>
    </row>
    <row r="36" spans="15:31" ht="15.75" customHeight="1" x14ac:dyDescent="0.25">
      <c r="O36" s="238"/>
      <c r="AE36" s="238"/>
    </row>
    <row r="37" spans="15:31" ht="32.1" customHeight="1" x14ac:dyDescent="0.25">
      <c r="O37" s="238"/>
      <c r="AE37" s="238"/>
    </row>
    <row r="38" spans="15:31" ht="32.1" customHeight="1" x14ac:dyDescent="0.25">
      <c r="O38" s="238"/>
      <c r="AE38" s="238"/>
    </row>
    <row r="39" spans="15:31" ht="32.1" customHeight="1" x14ac:dyDescent="0.25">
      <c r="O39" s="238"/>
      <c r="AE39" s="238"/>
    </row>
    <row r="40" spans="15:31" ht="32.1" customHeight="1" x14ac:dyDescent="0.25">
      <c r="O40" s="238"/>
      <c r="AE40" s="238"/>
    </row>
    <row r="41" spans="15:31" x14ac:dyDescent="0.25">
      <c r="O41" s="238"/>
      <c r="AE41" s="238"/>
    </row>
    <row r="42" spans="15:31" x14ac:dyDescent="0.25">
      <c r="O42" s="238"/>
      <c r="AE42" s="238"/>
    </row>
    <row r="43" spans="15:31" x14ac:dyDescent="0.25">
      <c r="O43" s="238"/>
      <c r="AE43" s="238"/>
    </row>
    <row r="44" spans="15:31" x14ac:dyDescent="0.25">
      <c r="O44" s="238"/>
      <c r="AE44" s="238"/>
    </row>
    <row r="45" spans="15:31" x14ac:dyDescent="0.25">
      <c r="O45" s="238"/>
      <c r="AE45" s="238"/>
    </row>
    <row r="46" spans="15:31" x14ac:dyDescent="0.25">
      <c r="O46" s="238"/>
      <c r="AE46" s="238"/>
    </row>
    <row r="47" spans="15:31" x14ac:dyDescent="0.25">
      <c r="O47" s="238"/>
      <c r="AE47" s="238"/>
    </row>
    <row r="48" spans="15:31" x14ac:dyDescent="0.25">
      <c r="O48" s="238"/>
      <c r="AE48" s="238"/>
    </row>
    <row r="49" spans="15:31" x14ac:dyDescent="0.25">
      <c r="O49" s="238"/>
      <c r="AE49" s="238"/>
    </row>
    <row r="50" spans="15:31" x14ac:dyDescent="0.25">
      <c r="O50" s="238"/>
      <c r="AE50" s="238"/>
    </row>
    <row r="51" spans="15:31" x14ac:dyDescent="0.25">
      <c r="O51" s="238"/>
      <c r="AE51" s="238"/>
    </row>
    <row r="52" spans="15:31" x14ac:dyDescent="0.25">
      <c r="O52" s="238"/>
      <c r="AE52" s="238"/>
    </row>
    <row r="53" spans="15:31" x14ac:dyDescent="0.25">
      <c r="O53" s="238"/>
      <c r="AE53" s="238"/>
    </row>
    <row r="54" spans="15:31" x14ac:dyDescent="0.25">
      <c r="O54" s="238"/>
      <c r="AE54" s="238"/>
    </row>
    <row r="55" spans="15:31" x14ac:dyDescent="0.25">
      <c r="O55" s="238"/>
      <c r="AE55" s="238"/>
    </row>
    <row r="56" spans="15:31" x14ac:dyDescent="0.25">
      <c r="O56" s="238"/>
      <c r="AE56" s="238"/>
    </row>
    <row r="57" spans="15:31" ht="6" customHeight="1" x14ac:dyDescent="0.25">
      <c r="O57" s="238"/>
      <c r="AE57" s="238"/>
    </row>
  </sheetData>
  <mergeCells count="14">
    <mergeCell ref="AE1:AE57"/>
    <mergeCell ref="U9:Y9"/>
    <mergeCell ref="A1:G1"/>
    <mergeCell ref="U12:Y12"/>
    <mergeCell ref="P30:AD30"/>
    <mergeCell ref="A30:N30"/>
    <mergeCell ref="Q3:AC5"/>
    <mergeCell ref="U11:Y11"/>
    <mergeCell ref="Q8:AC8"/>
    <mergeCell ref="U10:Y10"/>
    <mergeCell ref="A11:G11"/>
    <mergeCell ref="Q2:AC2"/>
    <mergeCell ref="A21:I21"/>
    <mergeCell ref="O1:O5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36"/>
  <sheetViews>
    <sheetView showGridLines="0" topLeftCell="B1" zoomScaleNormal="100" workbookViewId="0">
      <selection activeCell="J12" sqref="J12"/>
    </sheetView>
  </sheetViews>
  <sheetFormatPr defaultColWidth="10" defaultRowHeight="15" x14ac:dyDescent="0.25"/>
  <cols>
    <col min="1" max="1" width="47.7109375" style="112" customWidth="1"/>
    <col min="2" max="13" width="10" style="107" customWidth="1"/>
    <col min="14" max="14" width="1.7109375" customWidth="1"/>
    <col min="15" max="15" width="10" style="107" customWidth="1"/>
    <col min="16" max="16" width="6.28515625" style="107" customWidth="1"/>
    <col min="17" max="17" width="5.5703125" style="107" customWidth="1"/>
    <col min="18" max="27" width="10" style="107" customWidth="1"/>
    <col min="28" max="28" width="5.85546875" style="107" customWidth="1"/>
    <col min="29" max="29" width="1.7109375" customWidth="1"/>
    <col min="30" max="31" width="10" style="107" customWidth="1"/>
    <col min="32" max="16384" width="10" style="107"/>
  </cols>
  <sheetData>
    <row r="1" spans="1:29" ht="15" customHeight="1" thickBot="1" x14ac:dyDescent="0.3">
      <c r="N1" s="237"/>
      <c r="AC1" s="237"/>
    </row>
    <row r="2" spans="1:29" ht="18.600000000000001" customHeight="1" thickBot="1" x14ac:dyDescent="0.35">
      <c r="A2" s="287" t="s">
        <v>116</v>
      </c>
      <c r="B2" s="249"/>
      <c r="C2" s="249"/>
      <c r="D2" s="249"/>
      <c r="E2" s="249"/>
      <c r="F2" s="249"/>
      <c r="G2" s="250"/>
      <c r="N2" s="238"/>
      <c r="AC2" s="238"/>
    </row>
    <row r="3" spans="1:29" ht="21" customHeight="1" x14ac:dyDescent="0.25">
      <c r="A3" s="113"/>
      <c r="B3" s="39">
        <v>2011</v>
      </c>
      <c r="C3" s="39">
        <v>2012</v>
      </c>
      <c r="D3" s="39">
        <v>2013</v>
      </c>
      <c r="E3" s="39">
        <v>2014</v>
      </c>
      <c r="F3" s="39">
        <v>2015</v>
      </c>
      <c r="G3" s="114">
        <v>2016</v>
      </c>
      <c r="N3" s="238"/>
      <c r="P3" s="281" t="s">
        <v>24</v>
      </c>
      <c r="Q3" s="289"/>
      <c r="R3" s="289"/>
      <c r="S3" s="289"/>
      <c r="T3" s="289"/>
      <c r="U3" s="289"/>
      <c r="V3" s="289"/>
      <c r="W3" s="289"/>
      <c r="X3" s="289"/>
      <c r="Y3" s="289"/>
      <c r="AC3" s="238"/>
    </row>
    <row r="4" spans="1:29" ht="15" customHeight="1" x14ac:dyDescent="0.25">
      <c r="A4" s="28" t="s">
        <v>117</v>
      </c>
      <c r="B4" s="29">
        <v>759.2</v>
      </c>
      <c r="C4" s="30">
        <v>1131.5999999999999</v>
      </c>
      <c r="D4" s="30">
        <v>1580.1</v>
      </c>
      <c r="E4" s="30">
        <v>1285.2</v>
      </c>
      <c r="F4" s="29">
        <v>871.7</v>
      </c>
      <c r="G4" s="36">
        <v>900.3</v>
      </c>
      <c r="N4" s="238"/>
      <c r="P4" s="274" t="s">
        <v>118</v>
      </c>
      <c r="Q4" s="289"/>
      <c r="R4" s="289"/>
      <c r="S4" s="289"/>
      <c r="T4" s="289"/>
      <c r="U4" s="289"/>
      <c r="V4" s="289"/>
      <c r="W4" s="289"/>
      <c r="X4" s="289"/>
      <c r="Y4" s="289"/>
      <c r="Z4" s="289"/>
      <c r="AC4" s="238"/>
    </row>
    <row r="5" spans="1:29" ht="24.6" customHeight="1" x14ac:dyDescent="0.25">
      <c r="A5" s="28" t="s">
        <v>106</v>
      </c>
      <c r="B5" s="29">
        <v>230.3</v>
      </c>
      <c r="C5" s="29">
        <v>301.5</v>
      </c>
      <c r="D5" s="29">
        <v>515</v>
      </c>
      <c r="E5" s="35">
        <v>414.2</v>
      </c>
      <c r="F5" s="35">
        <v>350.9</v>
      </c>
      <c r="G5" s="108">
        <v>366.7</v>
      </c>
      <c r="N5" s="238"/>
      <c r="P5" s="289"/>
      <c r="Q5" s="289"/>
      <c r="R5" s="289"/>
      <c r="S5" s="289"/>
      <c r="T5" s="289"/>
      <c r="U5" s="289"/>
      <c r="V5" s="289"/>
      <c r="W5" s="289"/>
      <c r="X5" s="289"/>
      <c r="Y5" s="289"/>
      <c r="Z5" s="289"/>
      <c r="AC5" s="238"/>
    </row>
    <row r="6" spans="1:29" ht="26.45" customHeight="1" x14ac:dyDescent="0.25">
      <c r="A6" s="28" t="s">
        <v>119</v>
      </c>
      <c r="B6" s="29">
        <v>232.9</v>
      </c>
      <c r="C6" s="29">
        <v>370.2</v>
      </c>
      <c r="D6" s="29">
        <v>568.29999999999995</v>
      </c>
      <c r="E6" s="35">
        <v>486.4</v>
      </c>
      <c r="F6" s="35">
        <v>239.4</v>
      </c>
      <c r="G6" s="36">
        <v>206.1</v>
      </c>
      <c r="N6" s="238"/>
      <c r="P6" s="289"/>
      <c r="Q6" s="289"/>
      <c r="R6" s="289"/>
      <c r="S6" s="289"/>
      <c r="T6" s="289"/>
      <c r="U6" s="289"/>
      <c r="V6" s="289"/>
      <c r="W6" s="289"/>
      <c r="X6" s="289"/>
      <c r="Y6" s="289"/>
      <c r="Z6" s="289"/>
      <c r="AC6" s="238"/>
    </row>
    <row r="7" spans="1:29" ht="24.6" customHeight="1" x14ac:dyDescent="0.25">
      <c r="A7" s="28" t="s">
        <v>108</v>
      </c>
      <c r="B7" s="29">
        <v>150.9</v>
      </c>
      <c r="C7" s="29">
        <v>210.5</v>
      </c>
      <c r="D7" s="29">
        <v>298.2</v>
      </c>
      <c r="E7" s="35">
        <v>229.7</v>
      </c>
      <c r="F7" s="35">
        <v>150.6</v>
      </c>
      <c r="G7" s="36">
        <v>150.5</v>
      </c>
      <c r="N7" s="238"/>
      <c r="AC7" s="238"/>
    </row>
    <row r="8" spans="1:29" ht="24.6" customHeight="1" x14ac:dyDescent="0.25">
      <c r="A8" s="28" t="s">
        <v>109</v>
      </c>
      <c r="B8" s="29">
        <v>145.1</v>
      </c>
      <c r="C8" s="29">
        <v>249.4</v>
      </c>
      <c r="D8" s="29">
        <v>198.6</v>
      </c>
      <c r="E8" s="35">
        <v>154.9</v>
      </c>
      <c r="F8" s="35">
        <v>130.80000000000001</v>
      </c>
      <c r="G8" s="36">
        <v>177</v>
      </c>
      <c r="N8" s="238"/>
      <c r="AC8" s="238"/>
    </row>
    <row r="9" spans="1:29" ht="39.6" customHeight="1" x14ac:dyDescent="0.25">
      <c r="A9" s="28" t="s">
        <v>120</v>
      </c>
      <c r="B9" s="29">
        <v>1.7</v>
      </c>
      <c r="C9" s="29">
        <v>2.4</v>
      </c>
      <c r="D9" s="29">
        <v>3.7</v>
      </c>
      <c r="E9" s="35">
        <v>3.2</v>
      </c>
      <c r="F9" s="35">
        <v>2.9</v>
      </c>
      <c r="G9" s="36">
        <v>3.3</v>
      </c>
      <c r="N9" s="238"/>
      <c r="P9" s="285" t="s">
        <v>121</v>
      </c>
      <c r="Q9" s="289"/>
      <c r="R9" s="289"/>
      <c r="S9" s="289"/>
      <c r="T9" s="289"/>
      <c r="U9" s="289"/>
      <c r="V9" s="289"/>
      <c r="W9" s="289"/>
      <c r="X9" s="289"/>
      <c r="Y9" s="289"/>
      <c r="Z9" s="289"/>
      <c r="AA9" s="289"/>
      <c r="AC9" s="238"/>
    </row>
    <row r="10" spans="1:29" ht="15.75" customHeight="1" x14ac:dyDescent="0.25">
      <c r="N10" s="238"/>
      <c r="S10" s="270" t="s">
        <v>34</v>
      </c>
      <c r="T10" s="254"/>
      <c r="U10" s="254"/>
      <c r="V10" s="255"/>
      <c r="W10" s="291">
        <f>I26-B26</f>
        <v>-274.80000000000018</v>
      </c>
      <c r="X10" s="255"/>
      <c r="AC10" s="238"/>
    </row>
    <row r="11" spans="1:29" ht="15" customHeight="1" x14ac:dyDescent="0.25">
      <c r="N11" s="238"/>
      <c r="S11" s="270" t="s">
        <v>35</v>
      </c>
      <c r="T11" s="254"/>
      <c r="U11" s="254"/>
      <c r="V11" s="255"/>
      <c r="W11" s="290">
        <f>(I26/B26-1)*100</f>
        <v>-17.493156789101803</v>
      </c>
      <c r="X11" s="255"/>
      <c r="AC11" s="238"/>
    </row>
    <row r="12" spans="1:29" ht="15" customHeight="1" thickBot="1" x14ac:dyDescent="0.3">
      <c r="N12" s="238"/>
      <c r="S12" s="270" t="s">
        <v>36</v>
      </c>
      <c r="T12" s="254"/>
      <c r="U12" s="254"/>
      <c r="V12" s="255"/>
      <c r="W12" s="290">
        <f>(I26/B26)^(1/7)*100</f>
        <v>97.290401543465094</v>
      </c>
      <c r="X12" s="255"/>
      <c r="AC12" s="238"/>
    </row>
    <row r="13" spans="1:29" ht="18.600000000000001" customHeight="1" thickBot="1" x14ac:dyDescent="0.35">
      <c r="A13" s="287" t="s">
        <v>122</v>
      </c>
      <c r="B13" s="249"/>
      <c r="C13" s="249"/>
      <c r="D13" s="249"/>
      <c r="E13" s="249"/>
      <c r="F13" s="249"/>
      <c r="G13" s="250"/>
      <c r="N13" s="238"/>
      <c r="S13" s="270" t="s">
        <v>37</v>
      </c>
      <c r="T13" s="254"/>
      <c r="U13" s="254"/>
      <c r="V13" s="255"/>
      <c r="W13" s="290">
        <f>W12-100</f>
        <v>-2.7095984565349056</v>
      </c>
      <c r="X13" s="255"/>
      <c r="AC13" s="238"/>
    </row>
    <row r="14" spans="1:29" x14ac:dyDescent="0.25">
      <c r="A14" s="113"/>
      <c r="B14" s="39">
        <v>2013</v>
      </c>
      <c r="C14" s="39">
        <v>2014</v>
      </c>
      <c r="D14" s="39">
        <v>2015</v>
      </c>
      <c r="E14" s="39">
        <v>2016</v>
      </c>
      <c r="F14" s="39">
        <v>2017</v>
      </c>
      <c r="G14" s="114">
        <v>2018</v>
      </c>
      <c r="N14" s="238"/>
      <c r="AC14" s="238"/>
    </row>
    <row r="15" spans="1:29" x14ac:dyDescent="0.25">
      <c r="A15" s="28" t="s">
        <v>117</v>
      </c>
      <c r="B15" s="29">
        <v>1570.9</v>
      </c>
      <c r="C15" s="30">
        <v>1302.8</v>
      </c>
      <c r="D15" s="30">
        <v>885.1</v>
      </c>
      <c r="E15" s="30">
        <v>909.7</v>
      </c>
      <c r="F15" s="29">
        <v>1130</v>
      </c>
      <c r="G15" s="36">
        <v>1406.3</v>
      </c>
      <c r="N15" s="238"/>
      <c r="AC15" s="238"/>
    </row>
    <row r="16" spans="1:29" ht="26.45" customHeight="1" x14ac:dyDescent="0.25">
      <c r="A16" s="28" t="s">
        <v>113</v>
      </c>
      <c r="B16" s="29">
        <v>528.9</v>
      </c>
      <c r="C16" s="29">
        <v>427.2</v>
      </c>
      <c r="D16" s="29">
        <v>355.7</v>
      </c>
      <c r="E16" s="35">
        <v>367.3</v>
      </c>
      <c r="F16" s="35">
        <v>459.7</v>
      </c>
      <c r="G16" s="108">
        <v>557</v>
      </c>
      <c r="N16" s="238"/>
      <c r="AC16" s="238"/>
    </row>
    <row r="17" spans="1:29" ht="26.45" customHeight="1" x14ac:dyDescent="0.25">
      <c r="A17" s="28" t="s">
        <v>119</v>
      </c>
      <c r="B17" s="29">
        <v>526.5</v>
      </c>
      <c r="C17" s="29">
        <v>473.2</v>
      </c>
      <c r="D17" s="29">
        <v>231</v>
      </c>
      <c r="E17" s="35">
        <v>198.6</v>
      </c>
      <c r="F17" s="35">
        <v>269.8</v>
      </c>
      <c r="G17" s="36">
        <v>355</v>
      </c>
      <c r="N17" s="238"/>
      <c r="AC17" s="238"/>
    </row>
    <row r="18" spans="1:29" ht="24.6" customHeight="1" x14ac:dyDescent="0.25">
      <c r="A18" s="28" t="s">
        <v>114</v>
      </c>
      <c r="B18" s="29">
        <v>279.60000000000002</v>
      </c>
      <c r="C18" s="29">
        <v>211.2</v>
      </c>
      <c r="D18" s="29">
        <v>141.5</v>
      </c>
      <c r="E18" s="35">
        <v>138.30000000000001</v>
      </c>
      <c r="F18" s="35">
        <v>178.8</v>
      </c>
      <c r="G18" s="36">
        <v>233.8</v>
      </c>
      <c r="N18" s="238"/>
      <c r="AC18" s="238"/>
    </row>
    <row r="19" spans="1:29" ht="24.6" customHeight="1" x14ac:dyDescent="0.25">
      <c r="A19" s="28" t="s">
        <v>109</v>
      </c>
      <c r="B19" s="29">
        <v>235.9</v>
      </c>
      <c r="C19" s="29">
        <v>191.2</v>
      </c>
      <c r="D19" s="29">
        <v>156.9</v>
      </c>
      <c r="E19" s="35">
        <v>205.6</v>
      </c>
      <c r="F19" s="35">
        <v>221.6</v>
      </c>
      <c r="G19" s="36">
        <v>260.5</v>
      </c>
      <c r="N19" s="238"/>
      <c r="AC19" s="238"/>
    </row>
    <row r="20" spans="1:29" ht="39.6" customHeight="1" x14ac:dyDescent="0.25">
      <c r="A20" s="28" t="s">
        <v>120</v>
      </c>
      <c r="B20" s="29">
        <v>3.7</v>
      </c>
      <c r="C20" s="29">
        <v>3.2</v>
      </c>
      <c r="D20" s="29">
        <v>2.9</v>
      </c>
      <c r="E20" s="35">
        <v>3.3</v>
      </c>
      <c r="F20" s="35">
        <v>3.3</v>
      </c>
      <c r="G20" s="36">
        <v>3.7</v>
      </c>
      <c r="N20" s="238"/>
      <c r="AC20" s="238"/>
    </row>
    <row r="21" spans="1:29" x14ac:dyDescent="0.25">
      <c r="N21" s="238"/>
      <c r="AC21" s="238"/>
    </row>
    <row r="22" spans="1:29" x14ac:dyDescent="0.25">
      <c r="N22" s="238"/>
      <c r="AC22" s="238"/>
    </row>
    <row r="23" spans="1:29" ht="15" customHeight="1" thickBot="1" x14ac:dyDescent="0.3">
      <c r="A23" s="107"/>
      <c r="N23" s="238"/>
      <c r="AC23" s="238"/>
    </row>
    <row r="24" spans="1:29" ht="18.600000000000001" customHeight="1" thickBot="1" x14ac:dyDescent="0.35">
      <c r="A24" s="287" t="s">
        <v>123</v>
      </c>
      <c r="B24" s="249"/>
      <c r="C24" s="249"/>
      <c r="D24" s="249"/>
      <c r="E24" s="249"/>
      <c r="F24" s="249"/>
      <c r="G24" s="249"/>
      <c r="H24" s="249"/>
      <c r="I24" s="250"/>
      <c r="N24" s="238"/>
      <c r="AC24" s="238"/>
    </row>
    <row r="25" spans="1:29" x14ac:dyDescent="0.25">
      <c r="A25" s="113"/>
      <c r="B25" s="39">
        <v>2013</v>
      </c>
      <c r="C25" s="39">
        <v>2014</v>
      </c>
      <c r="D25" s="39">
        <v>2015</v>
      </c>
      <c r="E25" s="39">
        <v>2016</v>
      </c>
      <c r="F25" s="39">
        <v>2017</v>
      </c>
      <c r="G25" s="115">
        <v>2018</v>
      </c>
      <c r="H25" s="114">
        <v>2019</v>
      </c>
      <c r="I25" s="114">
        <v>2020</v>
      </c>
      <c r="N25" s="238"/>
      <c r="AC25" s="238"/>
    </row>
    <row r="26" spans="1:29" x14ac:dyDescent="0.25">
      <c r="A26" s="28" t="s">
        <v>117</v>
      </c>
      <c r="B26" s="29">
        <v>1570.9</v>
      </c>
      <c r="C26" s="30">
        <v>1302.8</v>
      </c>
      <c r="D26" s="30">
        <v>885.1</v>
      </c>
      <c r="E26" s="30">
        <v>909.7</v>
      </c>
      <c r="F26" s="29">
        <v>1130</v>
      </c>
      <c r="G26" s="110">
        <v>1406.3</v>
      </c>
      <c r="H26" s="31">
        <v>1481.6</v>
      </c>
      <c r="I26" s="31">
        <v>1296.0999999999999</v>
      </c>
      <c r="N26" s="238"/>
      <c r="AC26" s="238"/>
    </row>
    <row r="27" spans="1:29" ht="26.45" customHeight="1" x14ac:dyDescent="0.25">
      <c r="A27" s="28" t="s">
        <v>113</v>
      </c>
      <c r="B27" s="29">
        <v>528.9</v>
      </c>
      <c r="C27" s="29">
        <v>427.2</v>
      </c>
      <c r="D27" s="29">
        <v>355.7</v>
      </c>
      <c r="E27" s="35">
        <v>367.3</v>
      </c>
      <c r="F27" s="35">
        <v>459.7</v>
      </c>
      <c r="G27" s="111">
        <v>557</v>
      </c>
      <c r="H27" s="108">
        <v>564.4</v>
      </c>
      <c r="I27" s="108">
        <v>490.5</v>
      </c>
      <c r="N27" s="238"/>
      <c r="AC27" s="238"/>
    </row>
    <row r="28" spans="1:29" ht="26.45" customHeight="1" x14ac:dyDescent="0.25">
      <c r="A28" s="28" t="s">
        <v>119</v>
      </c>
      <c r="B28" s="29">
        <v>526.5</v>
      </c>
      <c r="C28" s="29">
        <v>473.2</v>
      </c>
      <c r="D28" s="29">
        <v>231</v>
      </c>
      <c r="E28" s="35">
        <v>198.6</v>
      </c>
      <c r="F28" s="35">
        <v>269.8</v>
      </c>
      <c r="G28" s="110">
        <v>355</v>
      </c>
      <c r="H28" s="36">
        <v>324.39999999999998</v>
      </c>
      <c r="I28" s="36">
        <v>307.89999999999998</v>
      </c>
      <c r="N28" s="238"/>
      <c r="AC28" s="238"/>
    </row>
    <row r="29" spans="1:29" ht="24.6" customHeight="1" x14ac:dyDescent="0.25">
      <c r="A29" s="28" t="s">
        <v>114</v>
      </c>
      <c r="B29" s="29">
        <v>279.60000000000002</v>
      </c>
      <c r="C29" s="29">
        <v>211.2</v>
      </c>
      <c r="D29" s="29">
        <v>141.5</v>
      </c>
      <c r="E29" s="35">
        <v>138.30000000000001</v>
      </c>
      <c r="F29" s="35">
        <v>178.8</v>
      </c>
      <c r="G29" s="110">
        <v>233.8</v>
      </c>
      <c r="H29" s="36">
        <v>259.60000000000002</v>
      </c>
      <c r="I29" s="36">
        <v>223.6</v>
      </c>
      <c r="N29" s="238"/>
      <c r="AC29" s="238"/>
    </row>
    <row r="30" spans="1:29" ht="24.6" customHeight="1" x14ac:dyDescent="0.25">
      <c r="A30" s="28" t="s">
        <v>109</v>
      </c>
      <c r="B30" s="29">
        <v>235.9</v>
      </c>
      <c r="C30" s="29">
        <v>191.2</v>
      </c>
      <c r="D30" s="29">
        <v>156.9</v>
      </c>
      <c r="E30" s="35">
        <v>205.6</v>
      </c>
      <c r="F30" s="35">
        <v>221.6</v>
      </c>
      <c r="G30" s="110">
        <v>260.5</v>
      </c>
      <c r="H30" s="36">
        <v>333.1</v>
      </c>
      <c r="I30" s="36">
        <v>274.10000000000002</v>
      </c>
      <c r="N30" s="238"/>
      <c r="AC30" s="238"/>
    </row>
    <row r="31" spans="1:29" ht="39.6" customHeight="1" x14ac:dyDescent="0.25">
      <c r="A31" s="28" t="s">
        <v>120</v>
      </c>
      <c r="B31" s="29">
        <v>3.7</v>
      </c>
      <c r="C31" s="29">
        <v>3.2</v>
      </c>
      <c r="D31" s="29">
        <v>2.9</v>
      </c>
      <c r="E31" s="35">
        <v>3.3</v>
      </c>
      <c r="F31" s="35">
        <v>3.3</v>
      </c>
      <c r="G31" s="110">
        <v>3.7</v>
      </c>
      <c r="H31" s="36">
        <v>3.8</v>
      </c>
      <c r="I31" s="36">
        <v>4</v>
      </c>
      <c r="N31" s="238"/>
      <c r="AC31" s="238"/>
    </row>
    <row r="32" spans="1:29" ht="14.25" customHeight="1" x14ac:dyDescent="0.25">
      <c r="A32" s="107"/>
      <c r="N32" s="238"/>
      <c r="AC32" s="238"/>
    </row>
    <row r="33" spans="1:29" ht="9.75" customHeight="1" x14ac:dyDescent="0.25">
      <c r="A33" s="107"/>
      <c r="N33" s="238"/>
      <c r="O33" s="288"/>
      <c r="P33" s="289"/>
      <c r="Q33" s="289"/>
      <c r="R33" s="289"/>
      <c r="S33" s="289"/>
      <c r="T33" s="289"/>
      <c r="U33" s="289"/>
      <c r="V33" s="289"/>
      <c r="W33" s="289"/>
      <c r="X33" s="289"/>
      <c r="Y33" s="289"/>
      <c r="Z33" s="289"/>
      <c r="AA33" s="289"/>
      <c r="AB33" s="289"/>
      <c r="AC33" s="238"/>
    </row>
    <row r="34" spans="1:29" x14ac:dyDescent="0.25">
      <c r="A34" s="107"/>
      <c r="N34" s="238"/>
      <c r="AC34" s="238"/>
    </row>
    <row r="35" spans="1:29" x14ac:dyDescent="0.25">
      <c r="A35" s="107"/>
      <c r="N35" s="238"/>
      <c r="AC35" s="238"/>
    </row>
    <row r="36" spans="1:29" x14ac:dyDescent="0.25">
      <c r="A36" s="107"/>
      <c r="N36" s="238"/>
      <c r="AC36" s="238"/>
    </row>
    <row r="37" spans="1:29" x14ac:dyDescent="0.25">
      <c r="N37" s="238"/>
      <c r="AC37" s="238"/>
    </row>
    <row r="38" spans="1:29" x14ac:dyDescent="0.25">
      <c r="N38" s="238"/>
      <c r="AC38" s="238"/>
    </row>
    <row r="39" spans="1:29" ht="15" customHeight="1" thickBot="1" x14ac:dyDescent="0.3">
      <c r="N39" s="238"/>
      <c r="AC39" s="238"/>
    </row>
    <row r="40" spans="1:29" ht="18.600000000000001" customHeight="1" thickBot="1" x14ac:dyDescent="0.35">
      <c r="A40" s="287" t="s">
        <v>103</v>
      </c>
      <c r="B40" s="249"/>
      <c r="C40" s="249"/>
      <c r="D40" s="249"/>
      <c r="E40" s="249"/>
      <c r="F40" s="249"/>
      <c r="G40" s="250"/>
      <c r="N40" s="238"/>
      <c r="AC40" s="238"/>
    </row>
    <row r="41" spans="1:29" x14ac:dyDescent="0.25">
      <c r="A41" s="25"/>
      <c r="B41" s="26">
        <v>2011</v>
      </c>
      <c r="C41" s="26">
        <v>2012</v>
      </c>
      <c r="D41" s="26">
        <v>2013</v>
      </c>
      <c r="E41" s="26">
        <v>2014</v>
      </c>
      <c r="F41" s="26">
        <v>2015</v>
      </c>
      <c r="G41" s="27">
        <v>2016</v>
      </c>
      <c r="N41" s="238"/>
      <c r="AC41" s="238"/>
    </row>
    <row r="42" spans="1:29" x14ac:dyDescent="0.25">
      <c r="A42" s="28" t="s">
        <v>104</v>
      </c>
      <c r="B42" s="29">
        <v>176.4</v>
      </c>
      <c r="C42" s="29">
        <v>300.5</v>
      </c>
      <c r="D42" s="29">
        <v>257</v>
      </c>
      <c r="E42" s="29">
        <v>227.6</v>
      </c>
      <c r="F42" s="29">
        <v>158.4</v>
      </c>
      <c r="G42" s="36">
        <v>166</v>
      </c>
      <c r="N42" s="238"/>
      <c r="AC42" s="238"/>
    </row>
    <row r="43" spans="1:29" x14ac:dyDescent="0.25">
      <c r="A43" s="28"/>
      <c r="B43" s="29">
        <f>B4</f>
        <v>759.2</v>
      </c>
      <c r="C43" s="29">
        <f>C4</f>
        <v>1131.5999999999999</v>
      </c>
      <c r="D43" s="29">
        <f>D4</f>
        <v>1580.1</v>
      </c>
      <c r="E43" s="29">
        <f>E4</f>
        <v>1285.2</v>
      </c>
      <c r="F43" s="29">
        <f>F4</f>
        <v>871.7</v>
      </c>
      <c r="G43" s="36"/>
      <c r="N43" s="238"/>
      <c r="AC43" s="238"/>
    </row>
    <row r="44" spans="1:29" x14ac:dyDescent="0.25">
      <c r="A44" s="28"/>
      <c r="B44" s="29">
        <f>B42-B43</f>
        <v>-582.80000000000007</v>
      </c>
      <c r="C44" s="29">
        <f>C42-C43</f>
        <v>-831.09999999999991</v>
      </c>
      <c r="D44" s="29">
        <f>D42-D43</f>
        <v>-1323.1</v>
      </c>
      <c r="E44" s="29">
        <f>E42-E43</f>
        <v>-1057.6000000000001</v>
      </c>
      <c r="F44" s="29">
        <f>F42-F43</f>
        <v>-713.30000000000007</v>
      </c>
      <c r="G44" s="36"/>
      <c r="N44" s="238"/>
      <c r="AC44" s="238"/>
    </row>
    <row r="45" spans="1:29" ht="24.6" customHeight="1" x14ac:dyDescent="0.25">
      <c r="A45" s="28" t="s">
        <v>106</v>
      </c>
      <c r="B45" s="29">
        <v>10.8</v>
      </c>
      <c r="C45" s="29">
        <v>16.7</v>
      </c>
      <c r="D45" s="29">
        <v>21.9</v>
      </c>
      <c r="E45" s="29">
        <v>26.9</v>
      </c>
      <c r="F45" s="29">
        <v>20.2</v>
      </c>
      <c r="G45" s="36">
        <v>15.2</v>
      </c>
      <c r="N45" s="238"/>
      <c r="AC45" s="238"/>
    </row>
    <row r="46" spans="1:29" x14ac:dyDescent="0.25">
      <c r="A46" s="28"/>
      <c r="B46" s="29">
        <f>B5</f>
        <v>230.3</v>
      </c>
      <c r="C46" s="29">
        <f>C5</f>
        <v>301.5</v>
      </c>
      <c r="D46" s="29">
        <f>D5</f>
        <v>515</v>
      </c>
      <c r="E46" s="29">
        <f>E5</f>
        <v>414.2</v>
      </c>
      <c r="F46" s="29">
        <f>F5</f>
        <v>350.9</v>
      </c>
      <c r="G46" s="36"/>
      <c r="N46" s="238"/>
      <c r="AC46" s="238"/>
    </row>
    <row r="47" spans="1:29" ht="26.45" customHeight="1" x14ac:dyDescent="0.25">
      <c r="A47" s="28" t="s">
        <v>107</v>
      </c>
      <c r="B47" s="29">
        <v>13.5</v>
      </c>
      <c r="C47" s="29">
        <v>17</v>
      </c>
      <c r="D47" s="29">
        <v>29.7</v>
      </c>
      <c r="E47" s="29">
        <v>50.5</v>
      </c>
      <c r="F47" s="35">
        <v>23.5</v>
      </c>
      <c r="G47" s="108">
        <v>21.1</v>
      </c>
      <c r="N47" s="238"/>
      <c r="AC47" s="238"/>
    </row>
    <row r="48" spans="1:29" x14ac:dyDescent="0.25">
      <c r="A48" s="28"/>
      <c r="B48" s="29">
        <f>B6</f>
        <v>232.9</v>
      </c>
      <c r="C48" s="29">
        <f>C6</f>
        <v>370.2</v>
      </c>
      <c r="D48" s="29">
        <f>D6</f>
        <v>568.29999999999995</v>
      </c>
      <c r="E48" s="29">
        <f>E6</f>
        <v>486.4</v>
      </c>
      <c r="F48" s="29">
        <f>F6</f>
        <v>239.4</v>
      </c>
      <c r="G48" s="108"/>
      <c r="N48" s="238"/>
      <c r="AC48" s="238"/>
    </row>
    <row r="49" spans="1:29" ht="24.6" customHeight="1" x14ac:dyDescent="0.25">
      <c r="A49" s="28" t="s">
        <v>108</v>
      </c>
      <c r="B49" s="29">
        <v>62.7</v>
      </c>
      <c r="C49" s="29">
        <v>158.9</v>
      </c>
      <c r="D49" s="29">
        <v>84.2</v>
      </c>
      <c r="E49" s="29">
        <v>25.2</v>
      </c>
      <c r="F49" s="35">
        <v>7.6</v>
      </c>
      <c r="G49" s="108">
        <v>30.3</v>
      </c>
      <c r="N49" s="238"/>
      <c r="AC49" s="238"/>
    </row>
    <row r="50" spans="1:29" x14ac:dyDescent="0.25">
      <c r="A50" s="28"/>
      <c r="B50" s="29">
        <f>B7</f>
        <v>150.9</v>
      </c>
      <c r="C50" s="29">
        <f>C7</f>
        <v>210.5</v>
      </c>
      <c r="D50" s="29">
        <f>D7</f>
        <v>298.2</v>
      </c>
      <c r="E50" s="29">
        <f>E7</f>
        <v>229.7</v>
      </c>
      <c r="F50" s="29">
        <f>F7</f>
        <v>150.6</v>
      </c>
      <c r="G50" s="108"/>
      <c r="N50" s="238"/>
      <c r="AC50" s="238"/>
    </row>
    <row r="51" spans="1:29" ht="24.6" customHeight="1" x14ac:dyDescent="0.25">
      <c r="A51" s="28" t="s">
        <v>109</v>
      </c>
      <c r="B51" s="29">
        <v>89.3</v>
      </c>
      <c r="C51" s="29">
        <v>107.9</v>
      </c>
      <c r="D51" s="29">
        <v>121.2</v>
      </c>
      <c r="E51" s="29">
        <v>125</v>
      </c>
      <c r="F51" s="35">
        <v>107.1</v>
      </c>
      <c r="G51" s="108">
        <v>99.4</v>
      </c>
      <c r="N51" s="238"/>
      <c r="AC51" s="238"/>
    </row>
    <row r="52" spans="1:29" x14ac:dyDescent="0.25">
      <c r="A52" s="28"/>
      <c r="B52" s="29">
        <f>B8</f>
        <v>145.1</v>
      </c>
      <c r="C52" s="29">
        <f>C8</f>
        <v>249.4</v>
      </c>
      <c r="D52" s="29">
        <f>D8</f>
        <v>198.6</v>
      </c>
      <c r="E52" s="29">
        <f>E8</f>
        <v>154.9</v>
      </c>
      <c r="F52" s="29">
        <f>F8</f>
        <v>130.80000000000001</v>
      </c>
      <c r="G52" s="108"/>
      <c r="N52" s="238"/>
      <c r="AC52" s="238"/>
    </row>
    <row r="53" spans="1:29" ht="39.6" customHeight="1" x14ac:dyDescent="0.25">
      <c r="A53" s="28" t="s">
        <v>110</v>
      </c>
      <c r="B53" s="29">
        <v>0.4</v>
      </c>
      <c r="C53" s="29">
        <v>0.7</v>
      </c>
      <c r="D53" s="29">
        <v>0.7</v>
      </c>
      <c r="E53" s="29">
        <v>0.6</v>
      </c>
      <c r="F53" s="35">
        <v>0.6</v>
      </c>
      <c r="G53" s="108">
        <v>0.7</v>
      </c>
      <c r="N53" s="238"/>
      <c r="AC53" s="238"/>
    </row>
    <row r="54" spans="1:29" x14ac:dyDescent="0.25">
      <c r="A54" s="107"/>
      <c r="N54" s="238"/>
      <c r="AC54" s="238"/>
    </row>
    <row r="55" spans="1:29" x14ac:dyDescent="0.25">
      <c r="A55" s="107"/>
      <c r="N55" s="238"/>
      <c r="AC55" s="238"/>
    </row>
    <row r="56" spans="1:29" ht="15" customHeight="1" thickBot="1" x14ac:dyDescent="0.3">
      <c r="A56" s="107"/>
      <c r="N56" s="238"/>
      <c r="AC56" s="238"/>
    </row>
    <row r="57" spans="1:29" ht="18.600000000000001" customHeight="1" thickBot="1" x14ac:dyDescent="0.35">
      <c r="A57" s="287" t="s">
        <v>124</v>
      </c>
      <c r="B57" s="249"/>
      <c r="C57" s="249"/>
      <c r="D57" s="249"/>
      <c r="E57" s="249"/>
      <c r="F57" s="249"/>
      <c r="G57" s="250"/>
      <c r="N57" s="238"/>
      <c r="AC57" s="238"/>
    </row>
    <row r="58" spans="1:29" x14ac:dyDescent="0.25">
      <c r="A58" s="25"/>
      <c r="B58" s="26">
        <v>2013</v>
      </c>
      <c r="C58" s="26">
        <v>2014</v>
      </c>
      <c r="D58" s="26">
        <v>2015</v>
      </c>
      <c r="E58" s="26">
        <v>2016</v>
      </c>
      <c r="F58" s="26">
        <v>2017</v>
      </c>
      <c r="G58" s="27">
        <v>2018</v>
      </c>
      <c r="N58" s="238"/>
      <c r="AC58" s="238"/>
    </row>
    <row r="59" spans="1:29" x14ac:dyDescent="0.25">
      <c r="A59" s="28" t="s">
        <v>104</v>
      </c>
      <c r="B59" s="29">
        <v>392.3</v>
      </c>
      <c r="C59" s="29">
        <v>341.2</v>
      </c>
      <c r="D59" s="29">
        <v>232.4</v>
      </c>
      <c r="E59" s="29">
        <v>259.2</v>
      </c>
      <c r="F59" s="29">
        <v>299.8</v>
      </c>
      <c r="G59" s="116">
        <v>346.2</v>
      </c>
      <c r="N59" s="238"/>
      <c r="AC59" s="238"/>
    </row>
    <row r="60" spans="1:29" x14ac:dyDescent="0.25">
      <c r="A60" s="28"/>
      <c r="B60" s="29">
        <v>1570.9</v>
      </c>
      <c r="C60" s="30">
        <v>1302.8</v>
      </c>
      <c r="D60" s="30">
        <v>885.1</v>
      </c>
      <c r="E60" s="30">
        <v>909.7</v>
      </c>
      <c r="F60" s="29">
        <v>1130</v>
      </c>
      <c r="G60" s="36">
        <v>1406.3</v>
      </c>
      <c r="N60" s="238"/>
      <c r="AC60" s="238"/>
    </row>
    <row r="61" spans="1:29" x14ac:dyDescent="0.25">
      <c r="A61" s="28"/>
      <c r="B61" s="29">
        <f>B59-B60</f>
        <v>-1178.6000000000001</v>
      </c>
      <c r="C61" s="29">
        <f>C59-C60</f>
        <v>-961.59999999999991</v>
      </c>
      <c r="D61" s="29">
        <f>D59-D60</f>
        <v>-652.70000000000005</v>
      </c>
      <c r="E61" s="29">
        <f>E59-E60</f>
        <v>-650.5</v>
      </c>
      <c r="F61" s="29">
        <f>F59-F60</f>
        <v>-830.2</v>
      </c>
      <c r="G61" s="36"/>
      <c r="N61" s="238"/>
      <c r="AC61" s="238"/>
    </row>
    <row r="62" spans="1:29" ht="26.45" customHeight="1" x14ac:dyDescent="0.25">
      <c r="A62" s="28" t="s">
        <v>113</v>
      </c>
      <c r="B62" s="29">
        <v>23.9</v>
      </c>
      <c r="C62" s="29">
        <v>27</v>
      </c>
      <c r="D62" s="29">
        <v>20.100000000000001</v>
      </c>
      <c r="E62" s="29">
        <v>15.1</v>
      </c>
      <c r="F62" s="29">
        <v>25.1</v>
      </c>
      <c r="G62" s="116">
        <v>28.3</v>
      </c>
      <c r="N62" s="238"/>
      <c r="AC62" s="238"/>
    </row>
    <row r="63" spans="1:29" x14ac:dyDescent="0.25">
      <c r="A63" s="28"/>
      <c r="B63" s="29">
        <v>528.9</v>
      </c>
      <c r="C63" s="29">
        <v>427.2</v>
      </c>
      <c r="D63" s="29">
        <v>355.7</v>
      </c>
      <c r="E63" s="35">
        <v>367.3</v>
      </c>
      <c r="F63" s="35">
        <v>459.7</v>
      </c>
      <c r="G63" s="108">
        <v>557</v>
      </c>
      <c r="N63" s="238"/>
      <c r="AC63" s="238"/>
    </row>
    <row r="64" spans="1:29" ht="26.45" customHeight="1" x14ac:dyDescent="0.25">
      <c r="A64" s="28" t="s">
        <v>107</v>
      </c>
      <c r="B64" s="29">
        <v>24.3</v>
      </c>
      <c r="C64" s="29">
        <v>44.2</v>
      </c>
      <c r="D64" s="29">
        <v>17.5</v>
      </c>
      <c r="E64" s="29">
        <v>15.5</v>
      </c>
      <c r="F64" s="35">
        <v>34.9</v>
      </c>
      <c r="G64" s="117">
        <v>32.6</v>
      </c>
      <c r="N64" s="238"/>
      <c r="AC64" s="238"/>
    </row>
    <row r="65" spans="1:29" x14ac:dyDescent="0.25">
      <c r="A65" s="28"/>
      <c r="B65" s="29">
        <v>526.5</v>
      </c>
      <c r="C65" s="29">
        <v>473.2</v>
      </c>
      <c r="D65" s="29">
        <v>231</v>
      </c>
      <c r="E65" s="35">
        <v>198.6</v>
      </c>
      <c r="F65" s="35">
        <v>269.8</v>
      </c>
      <c r="G65" s="36">
        <v>355</v>
      </c>
      <c r="N65" s="238"/>
      <c r="AC65" s="238"/>
    </row>
    <row r="66" spans="1:29" ht="24.6" customHeight="1" x14ac:dyDescent="0.25">
      <c r="A66" s="28" t="s">
        <v>114</v>
      </c>
      <c r="B66" s="29">
        <v>82</v>
      </c>
      <c r="C66" s="29">
        <v>24.8</v>
      </c>
      <c r="D66" s="29">
        <v>7.3</v>
      </c>
      <c r="E66" s="29">
        <v>30</v>
      </c>
      <c r="F66" s="35">
        <v>63.1</v>
      </c>
      <c r="G66" s="117">
        <v>106.2</v>
      </c>
      <c r="N66" s="238"/>
      <c r="AC66" s="238"/>
    </row>
    <row r="67" spans="1:29" x14ac:dyDescent="0.25">
      <c r="A67" s="28"/>
      <c r="B67" s="29">
        <v>279.60000000000002</v>
      </c>
      <c r="C67" s="29">
        <v>211.2</v>
      </c>
      <c r="D67" s="29">
        <v>141.5</v>
      </c>
      <c r="E67" s="35">
        <v>138.30000000000001</v>
      </c>
      <c r="F67" s="35">
        <v>178.8</v>
      </c>
      <c r="G67" s="36">
        <v>233.8</v>
      </c>
      <c r="N67" s="238"/>
      <c r="AC67" s="238"/>
    </row>
    <row r="68" spans="1:29" ht="24.6" customHeight="1" x14ac:dyDescent="0.25">
      <c r="A68" s="28" t="s">
        <v>109</v>
      </c>
      <c r="B68" s="29">
        <v>262</v>
      </c>
      <c r="C68" s="29">
        <v>245.3</v>
      </c>
      <c r="D68" s="29">
        <v>187.5</v>
      </c>
      <c r="E68" s="29">
        <v>198.6</v>
      </c>
      <c r="F68" s="35">
        <v>176.7</v>
      </c>
      <c r="G68" s="117">
        <v>179.1</v>
      </c>
      <c r="N68" s="238"/>
      <c r="AC68" s="238"/>
    </row>
    <row r="69" spans="1:29" x14ac:dyDescent="0.25">
      <c r="A69" s="28"/>
      <c r="B69" s="29">
        <v>235.9</v>
      </c>
      <c r="C69" s="29">
        <v>191.2</v>
      </c>
      <c r="D69" s="29">
        <v>156.9</v>
      </c>
      <c r="E69" s="35">
        <v>205.6</v>
      </c>
      <c r="F69" s="35">
        <v>221.6</v>
      </c>
      <c r="G69" s="36">
        <v>260.5</v>
      </c>
      <c r="N69" s="238"/>
      <c r="AC69" s="238"/>
    </row>
    <row r="70" spans="1:29" ht="39.6" customHeight="1" x14ac:dyDescent="0.25">
      <c r="A70" s="28" t="s">
        <v>110</v>
      </c>
      <c r="B70" s="29">
        <v>1.1000000000000001</v>
      </c>
      <c r="C70" s="29">
        <v>0.9</v>
      </c>
      <c r="D70" s="29">
        <v>0.9</v>
      </c>
      <c r="E70" s="29">
        <v>1.1000000000000001</v>
      </c>
      <c r="F70" s="35">
        <v>1</v>
      </c>
      <c r="G70" s="108">
        <v>1</v>
      </c>
      <c r="N70" s="238"/>
      <c r="AC70" s="238"/>
    </row>
    <row r="71" spans="1:29" x14ac:dyDescent="0.25">
      <c r="A71" s="28"/>
      <c r="B71" s="29">
        <v>3.7</v>
      </c>
      <c r="C71" s="29">
        <v>3.2</v>
      </c>
      <c r="D71" s="29">
        <v>2.9</v>
      </c>
      <c r="E71" s="35">
        <v>3.3</v>
      </c>
      <c r="F71" s="35">
        <v>3.3</v>
      </c>
      <c r="G71" s="36">
        <v>3.7</v>
      </c>
      <c r="N71" s="238"/>
      <c r="AC71" s="238"/>
    </row>
    <row r="72" spans="1:29" x14ac:dyDescent="0.25">
      <c r="N72" s="238"/>
      <c r="AC72" s="238"/>
    </row>
    <row r="73" spans="1:29" x14ac:dyDescent="0.25">
      <c r="N73" s="238"/>
      <c r="AC73" s="238"/>
    </row>
    <row r="74" spans="1:29" ht="15" customHeight="1" thickBot="1" x14ac:dyDescent="0.3">
      <c r="N74" s="238"/>
      <c r="AC74" s="238"/>
    </row>
    <row r="75" spans="1:29" ht="18.600000000000001" customHeight="1" thickBot="1" x14ac:dyDescent="0.35">
      <c r="A75" s="287" t="s">
        <v>124</v>
      </c>
      <c r="B75" s="249"/>
      <c r="C75" s="249"/>
      <c r="D75" s="249"/>
      <c r="E75" s="249"/>
      <c r="F75" s="249"/>
      <c r="G75" s="250"/>
      <c r="N75" s="238"/>
      <c r="AC75" s="238"/>
    </row>
    <row r="76" spans="1:29" x14ac:dyDescent="0.25">
      <c r="A76" s="25"/>
      <c r="B76" s="26">
        <v>2013</v>
      </c>
      <c r="C76" s="26">
        <v>2014</v>
      </c>
      <c r="D76" s="26">
        <v>2015</v>
      </c>
      <c r="E76" s="26">
        <v>2016</v>
      </c>
      <c r="F76" s="26">
        <v>2017</v>
      </c>
      <c r="G76" s="27">
        <v>2018</v>
      </c>
      <c r="N76" s="238"/>
      <c r="AC76" s="238"/>
    </row>
    <row r="77" spans="1:29" x14ac:dyDescent="0.25">
      <c r="A77" s="28" t="s">
        <v>104</v>
      </c>
      <c r="B77" s="29">
        <v>392.3</v>
      </c>
      <c r="C77" s="29">
        <v>341.2</v>
      </c>
      <c r="D77" s="29">
        <v>232.4</v>
      </c>
      <c r="E77" s="29">
        <v>259.2</v>
      </c>
      <c r="F77" s="29">
        <v>299.8</v>
      </c>
      <c r="G77" s="116">
        <v>346.2</v>
      </c>
      <c r="N77" s="238"/>
      <c r="AC77" s="238"/>
    </row>
    <row r="78" spans="1:29" x14ac:dyDescent="0.25">
      <c r="A78" s="28"/>
      <c r="B78" s="29">
        <v>1570.9</v>
      </c>
      <c r="C78" s="30">
        <v>1302.8</v>
      </c>
      <c r="D78" s="30">
        <v>885.1</v>
      </c>
      <c r="E78" s="30">
        <v>909.7</v>
      </c>
      <c r="F78" s="29">
        <v>1130</v>
      </c>
      <c r="G78" s="36">
        <v>1406.3</v>
      </c>
      <c r="N78" s="238"/>
      <c r="AC78" s="238"/>
    </row>
    <row r="79" spans="1:29" x14ac:dyDescent="0.25">
      <c r="A79" s="28"/>
      <c r="B79" s="29">
        <f>B77-B78</f>
        <v>-1178.6000000000001</v>
      </c>
      <c r="C79" s="29">
        <f>C77-C78</f>
        <v>-961.59999999999991</v>
      </c>
      <c r="D79" s="29">
        <f>D77-D78</f>
        <v>-652.70000000000005</v>
      </c>
      <c r="E79" s="29">
        <f>E77-E78</f>
        <v>-650.5</v>
      </c>
      <c r="F79" s="29">
        <f>F77-F78</f>
        <v>-830.2</v>
      </c>
      <c r="G79" s="36"/>
      <c r="N79" s="238"/>
      <c r="AC79" s="238"/>
    </row>
    <row r="80" spans="1:29" ht="26.45" customHeight="1" x14ac:dyDescent="0.25">
      <c r="A80" s="28" t="s">
        <v>113</v>
      </c>
      <c r="B80" s="29">
        <v>23.9</v>
      </c>
      <c r="C80" s="29">
        <v>27</v>
      </c>
      <c r="D80" s="29">
        <v>20.100000000000001</v>
      </c>
      <c r="E80" s="29">
        <v>15.1</v>
      </c>
      <c r="F80" s="29">
        <v>25.1</v>
      </c>
      <c r="G80" s="116">
        <v>28.3</v>
      </c>
      <c r="N80" s="238"/>
      <c r="AC80" s="238"/>
    </row>
    <row r="81" spans="1:29" x14ac:dyDescent="0.25">
      <c r="A81" s="28"/>
      <c r="B81" s="29">
        <v>528.9</v>
      </c>
      <c r="C81" s="29">
        <v>427.2</v>
      </c>
      <c r="D81" s="29">
        <v>355.7</v>
      </c>
      <c r="E81" s="35">
        <v>367.3</v>
      </c>
      <c r="F81" s="35">
        <v>459.7</v>
      </c>
      <c r="G81" s="108">
        <v>557</v>
      </c>
      <c r="N81" s="238"/>
      <c r="AC81" s="238"/>
    </row>
    <row r="82" spans="1:29" ht="26.45" customHeight="1" x14ac:dyDescent="0.25">
      <c r="A82" s="28" t="s">
        <v>107</v>
      </c>
      <c r="B82" s="29">
        <v>24.3</v>
      </c>
      <c r="C82" s="29">
        <v>44.2</v>
      </c>
      <c r="D82" s="29">
        <v>17.5</v>
      </c>
      <c r="E82" s="29">
        <v>15.5</v>
      </c>
      <c r="F82" s="35">
        <v>34.9</v>
      </c>
      <c r="G82" s="117">
        <v>32.6</v>
      </c>
      <c r="N82" s="238"/>
      <c r="AC82" s="238"/>
    </row>
    <row r="83" spans="1:29" x14ac:dyDescent="0.25">
      <c r="A83" s="28"/>
      <c r="B83" s="29">
        <v>526.5</v>
      </c>
      <c r="C83" s="29">
        <v>473.2</v>
      </c>
      <c r="D83" s="29">
        <v>231</v>
      </c>
      <c r="E83" s="35">
        <v>198.6</v>
      </c>
      <c r="F83" s="35">
        <v>269.8</v>
      </c>
      <c r="G83" s="36">
        <v>355</v>
      </c>
      <c r="N83" s="238"/>
      <c r="AC83" s="238"/>
    </row>
    <row r="84" spans="1:29" ht="24.6" customHeight="1" x14ac:dyDescent="0.25">
      <c r="A84" s="28" t="s">
        <v>114</v>
      </c>
      <c r="B84" s="29">
        <v>82</v>
      </c>
      <c r="C84" s="29">
        <v>24.8</v>
      </c>
      <c r="D84" s="29">
        <v>7.3</v>
      </c>
      <c r="E84" s="29">
        <v>30</v>
      </c>
      <c r="F84" s="35">
        <v>63.1</v>
      </c>
      <c r="G84" s="117">
        <v>106.2</v>
      </c>
      <c r="N84" s="238"/>
      <c r="AC84" s="238"/>
    </row>
    <row r="85" spans="1:29" x14ac:dyDescent="0.25">
      <c r="A85" s="28"/>
      <c r="B85" s="29">
        <v>279.60000000000002</v>
      </c>
      <c r="C85" s="29">
        <v>211.2</v>
      </c>
      <c r="D85" s="29">
        <v>141.5</v>
      </c>
      <c r="E85" s="35">
        <v>138.30000000000001</v>
      </c>
      <c r="F85" s="35">
        <v>178.8</v>
      </c>
      <c r="G85" s="36">
        <v>233.8</v>
      </c>
      <c r="N85" s="238"/>
      <c r="AC85" s="238"/>
    </row>
    <row r="86" spans="1:29" ht="24.6" customHeight="1" x14ac:dyDescent="0.25">
      <c r="A86" s="28" t="s">
        <v>109</v>
      </c>
      <c r="B86" s="29">
        <v>262</v>
      </c>
      <c r="C86" s="29">
        <v>245.3</v>
      </c>
      <c r="D86" s="29">
        <v>187.5</v>
      </c>
      <c r="E86" s="29">
        <v>198.6</v>
      </c>
      <c r="F86" s="35">
        <v>176.7</v>
      </c>
      <c r="G86" s="117">
        <v>179.1</v>
      </c>
      <c r="N86" s="238"/>
      <c r="AC86" s="238"/>
    </row>
    <row r="87" spans="1:29" x14ac:dyDescent="0.25">
      <c r="A87" s="28"/>
      <c r="B87" s="29">
        <v>235.9</v>
      </c>
      <c r="C87" s="29">
        <v>191.2</v>
      </c>
      <c r="D87" s="29">
        <v>156.9</v>
      </c>
      <c r="E87" s="35">
        <v>205.6</v>
      </c>
      <c r="F87" s="35">
        <v>221.6</v>
      </c>
      <c r="G87" s="36">
        <v>260.5</v>
      </c>
      <c r="N87" s="238"/>
      <c r="AC87" s="238"/>
    </row>
    <row r="88" spans="1:29" ht="39.6" customHeight="1" x14ac:dyDescent="0.25">
      <c r="A88" s="28" t="s">
        <v>110</v>
      </c>
      <c r="B88" s="29">
        <v>1.1000000000000001</v>
      </c>
      <c r="C88" s="29">
        <v>0.9</v>
      </c>
      <c r="D88" s="29">
        <v>0.9</v>
      </c>
      <c r="E88" s="29">
        <v>1.1000000000000001</v>
      </c>
      <c r="F88" s="35">
        <v>1</v>
      </c>
      <c r="G88" s="108">
        <v>1</v>
      </c>
      <c r="N88" s="238"/>
      <c r="AC88" s="238"/>
    </row>
    <row r="89" spans="1:29" x14ac:dyDescent="0.25">
      <c r="A89" s="28"/>
      <c r="B89" s="29">
        <v>3.7</v>
      </c>
      <c r="C89" s="29">
        <v>3.2</v>
      </c>
      <c r="D89" s="29">
        <v>2.9</v>
      </c>
      <c r="E89" s="35">
        <v>3.3</v>
      </c>
      <c r="F89" s="35">
        <v>3.3</v>
      </c>
      <c r="G89" s="36">
        <v>3.7</v>
      </c>
      <c r="N89" s="238"/>
      <c r="AC89" s="238"/>
    </row>
    <row r="90" spans="1:29" x14ac:dyDescent="0.25">
      <c r="N90" s="238"/>
      <c r="AC90" s="238"/>
    </row>
    <row r="91" spans="1:29" x14ac:dyDescent="0.25">
      <c r="N91" s="238"/>
      <c r="AC91" s="238"/>
    </row>
    <row r="92" spans="1:29" ht="15" customHeight="1" thickBot="1" x14ac:dyDescent="0.3">
      <c r="N92" s="238"/>
      <c r="AC92" s="238"/>
    </row>
    <row r="93" spans="1:29" ht="18.600000000000001" customHeight="1" thickBot="1" x14ac:dyDescent="0.35">
      <c r="A93" s="287" t="s">
        <v>125</v>
      </c>
      <c r="B93" s="249"/>
      <c r="C93" s="249"/>
      <c r="D93" s="249"/>
      <c r="E93" s="249"/>
      <c r="F93" s="249"/>
      <c r="G93" s="249"/>
      <c r="H93" s="249"/>
      <c r="I93" s="250"/>
      <c r="N93" s="238"/>
      <c r="AC93" s="238"/>
    </row>
    <row r="94" spans="1:29" x14ac:dyDescent="0.25">
      <c r="A94" s="25"/>
      <c r="B94" s="26">
        <v>2013</v>
      </c>
      <c r="C94" s="26">
        <v>2014</v>
      </c>
      <c r="D94" s="26">
        <v>2015</v>
      </c>
      <c r="E94" s="26">
        <v>2016</v>
      </c>
      <c r="F94" s="26">
        <v>2017</v>
      </c>
      <c r="G94" s="109">
        <v>2018</v>
      </c>
      <c r="H94" s="27">
        <v>2019</v>
      </c>
      <c r="I94" s="27">
        <v>2020</v>
      </c>
      <c r="N94" s="238"/>
      <c r="AC94" s="238"/>
    </row>
    <row r="95" spans="1:29" x14ac:dyDescent="0.25">
      <c r="A95" s="28" t="s">
        <v>104</v>
      </c>
      <c r="B95" s="29">
        <v>392.3</v>
      </c>
      <c r="C95" s="29">
        <v>341.2</v>
      </c>
      <c r="D95" s="29">
        <v>232.4</v>
      </c>
      <c r="E95" s="29">
        <v>259.2</v>
      </c>
      <c r="F95" s="29">
        <v>299.8</v>
      </c>
      <c r="G95" s="118">
        <v>346.2</v>
      </c>
      <c r="H95" s="116">
        <v>374.4</v>
      </c>
      <c r="I95" s="116">
        <v>404.9</v>
      </c>
      <c r="N95" s="238"/>
      <c r="AC95" s="238"/>
    </row>
    <row r="96" spans="1:29" x14ac:dyDescent="0.25">
      <c r="A96" s="28"/>
      <c r="B96" s="29">
        <v>1570.9</v>
      </c>
      <c r="C96" s="30">
        <v>1302.8</v>
      </c>
      <c r="D96" s="30">
        <v>885.1</v>
      </c>
      <c r="E96" s="30">
        <v>909.7</v>
      </c>
      <c r="F96" s="29">
        <v>1130</v>
      </c>
      <c r="G96" s="110">
        <v>1406.3</v>
      </c>
      <c r="H96" s="31">
        <v>1481.6</v>
      </c>
      <c r="I96" s="31">
        <v>1296.0999999999999</v>
      </c>
      <c r="N96" s="238"/>
      <c r="AC96" s="238"/>
    </row>
    <row r="97" spans="1:29" x14ac:dyDescent="0.25">
      <c r="A97" s="28"/>
      <c r="B97" s="29">
        <f t="shared" ref="B97:I97" si="0">B95-B96</f>
        <v>-1178.6000000000001</v>
      </c>
      <c r="C97" s="29">
        <f t="shared" si="0"/>
        <v>-961.59999999999991</v>
      </c>
      <c r="D97" s="29">
        <f t="shared" si="0"/>
        <v>-652.70000000000005</v>
      </c>
      <c r="E97" s="29">
        <f t="shared" si="0"/>
        <v>-650.5</v>
      </c>
      <c r="F97" s="29">
        <f t="shared" si="0"/>
        <v>-830.2</v>
      </c>
      <c r="G97" s="110">
        <f t="shared" si="0"/>
        <v>-1060.0999999999999</v>
      </c>
      <c r="H97" s="110">
        <f t="shared" si="0"/>
        <v>-1107.1999999999998</v>
      </c>
      <c r="I97" s="110">
        <f t="shared" si="0"/>
        <v>-891.19999999999993</v>
      </c>
      <c r="N97" s="238"/>
      <c r="AC97" s="238"/>
    </row>
    <row r="98" spans="1:29" ht="26.45" customHeight="1" x14ac:dyDescent="0.25">
      <c r="A98" s="28" t="s">
        <v>113</v>
      </c>
      <c r="B98" s="29">
        <v>23.9</v>
      </c>
      <c r="C98" s="29">
        <v>27</v>
      </c>
      <c r="D98" s="29">
        <v>20.100000000000001</v>
      </c>
      <c r="E98" s="29">
        <v>15.1</v>
      </c>
      <c r="F98" s="29">
        <v>25.1</v>
      </c>
      <c r="G98" s="118">
        <v>28.3</v>
      </c>
      <c r="H98" s="116">
        <v>28.8</v>
      </c>
      <c r="I98" s="116">
        <v>32.9</v>
      </c>
      <c r="N98" s="238"/>
      <c r="AC98" s="238"/>
    </row>
    <row r="99" spans="1:29" x14ac:dyDescent="0.25">
      <c r="A99" s="28"/>
      <c r="B99" s="29">
        <v>528.9</v>
      </c>
      <c r="C99" s="29">
        <v>427.2</v>
      </c>
      <c r="D99" s="29">
        <v>355.7</v>
      </c>
      <c r="E99" s="35">
        <v>367.3</v>
      </c>
      <c r="F99" s="35">
        <v>459.7</v>
      </c>
      <c r="G99" s="111">
        <v>557</v>
      </c>
      <c r="H99" s="108">
        <v>564.4</v>
      </c>
      <c r="I99" s="108">
        <v>490.5</v>
      </c>
      <c r="N99" s="238"/>
      <c r="AC99" s="238"/>
    </row>
    <row r="100" spans="1:29" ht="26.45" customHeight="1" x14ac:dyDescent="0.25">
      <c r="A100" s="28" t="s">
        <v>107</v>
      </c>
      <c r="B100" s="29">
        <v>24.3</v>
      </c>
      <c r="C100" s="29">
        <v>44.2</v>
      </c>
      <c r="D100" s="29">
        <v>17.5</v>
      </c>
      <c r="E100" s="29">
        <v>15.5</v>
      </c>
      <c r="F100" s="35">
        <v>34.9</v>
      </c>
      <c r="G100" s="119">
        <v>32.6</v>
      </c>
      <c r="H100" s="117">
        <v>36.1</v>
      </c>
      <c r="I100" s="117">
        <v>44.8</v>
      </c>
      <c r="N100" s="238"/>
      <c r="AC100" s="238"/>
    </row>
    <row r="101" spans="1:29" x14ac:dyDescent="0.25">
      <c r="A101" s="28"/>
      <c r="B101" s="29">
        <v>526.5</v>
      </c>
      <c r="C101" s="29">
        <v>473.2</v>
      </c>
      <c r="D101" s="29">
        <v>231</v>
      </c>
      <c r="E101" s="35">
        <v>198.6</v>
      </c>
      <c r="F101" s="35">
        <v>269.8</v>
      </c>
      <c r="G101" s="110">
        <v>355</v>
      </c>
      <c r="H101" s="36">
        <v>324.39999999999998</v>
      </c>
      <c r="I101" s="36">
        <v>307.89999999999998</v>
      </c>
      <c r="N101" s="238"/>
      <c r="AC101" s="238"/>
    </row>
    <row r="102" spans="1:29" ht="24.6" customHeight="1" x14ac:dyDescent="0.25">
      <c r="A102" s="28" t="s">
        <v>114</v>
      </c>
      <c r="B102" s="29">
        <v>82</v>
      </c>
      <c r="C102" s="29">
        <v>24.8</v>
      </c>
      <c r="D102" s="29">
        <v>7.3</v>
      </c>
      <c r="E102" s="29">
        <v>30</v>
      </c>
      <c r="F102" s="35">
        <v>63.1</v>
      </c>
      <c r="G102" s="119">
        <v>106.2</v>
      </c>
      <c r="H102" s="117">
        <v>136</v>
      </c>
      <c r="I102" s="117">
        <v>172.4</v>
      </c>
      <c r="N102" s="238"/>
      <c r="AC102" s="238"/>
    </row>
    <row r="103" spans="1:29" x14ac:dyDescent="0.25">
      <c r="A103" s="28"/>
      <c r="B103" s="29">
        <v>279.60000000000002</v>
      </c>
      <c r="C103" s="29">
        <v>211.2</v>
      </c>
      <c r="D103" s="29">
        <v>141.5</v>
      </c>
      <c r="E103" s="35">
        <v>138.30000000000001</v>
      </c>
      <c r="F103" s="35">
        <v>178.8</v>
      </c>
      <c r="G103" s="110">
        <v>233.8</v>
      </c>
      <c r="H103" s="36">
        <v>259.60000000000002</v>
      </c>
      <c r="I103" s="36">
        <v>223.6</v>
      </c>
      <c r="N103" s="238"/>
      <c r="AC103" s="238"/>
    </row>
    <row r="104" spans="1:29" ht="24.6" customHeight="1" x14ac:dyDescent="0.25">
      <c r="A104" s="28" t="s">
        <v>109</v>
      </c>
      <c r="B104" s="29">
        <v>262</v>
      </c>
      <c r="C104" s="29">
        <v>245.3</v>
      </c>
      <c r="D104" s="29">
        <v>187.5</v>
      </c>
      <c r="E104" s="29">
        <v>198.6</v>
      </c>
      <c r="F104" s="35">
        <v>176.7</v>
      </c>
      <c r="G104" s="119">
        <v>179.1</v>
      </c>
      <c r="H104" s="117">
        <v>173.5</v>
      </c>
      <c r="I104" s="117">
        <v>154.69999999999999</v>
      </c>
      <c r="N104" s="238"/>
      <c r="AC104" s="238"/>
    </row>
    <row r="105" spans="1:29" x14ac:dyDescent="0.25">
      <c r="A105" s="28"/>
      <c r="B105" s="29">
        <v>235.9</v>
      </c>
      <c r="C105" s="29">
        <v>191.2</v>
      </c>
      <c r="D105" s="29">
        <v>156.9</v>
      </c>
      <c r="E105" s="35">
        <v>205.6</v>
      </c>
      <c r="F105" s="35">
        <v>221.6</v>
      </c>
      <c r="G105" s="110">
        <v>260.5</v>
      </c>
      <c r="H105" s="36">
        <v>333.1</v>
      </c>
      <c r="I105" s="36">
        <v>274.10000000000002</v>
      </c>
      <c r="N105" s="238"/>
      <c r="AC105" s="238"/>
    </row>
    <row r="106" spans="1:29" ht="39.6" customHeight="1" x14ac:dyDescent="0.25">
      <c r="A106" s="28" t="s">
        <v>110</v>
      </c>
      <c r="B106" s="29">
        <v>1.1000000000000001</v>
      </c>
      <c r="C106" s="29">
        <v>0.9</v>
      </c>
      <c r="D106" s="29">
        <v>0.9</v>
      </c>
      <c r="E106" s="29">
        <v>1.1000000000000001</v>
      </c>
      <c r="F106" s="35">
        <v>1</v>
      </c>
      <c r="G106" s="111">
        <v>1</v>
      </c>
      <c r="H106" s="117">
        <v>1.1000000000000001</v>
      </c>
      <c r="I106" s="117">
        <v>1.4</v>
      </c>
      <c r="N106" s="238"/>
      <c r="AC106" s="238"/>
    </row>
    <row r="107" spans="1:29" x14ac:dyDescent="0.25">
      <c r="A107" s="28"/>
      <c r="B107" s="29">
        <v>3.7</v>
      </c>
      <c r="C107" s="29">
        <v>3.2</v>
      </c>
      <c r="D107" s="29">
        <v>2.9</v>
      </c>
      <c r="E107" s="35">
        <v>3.3</v>
      </c>
      <c r="F107" s="35">
        <v>3.3</v>
      </c>
      <c r="G107" s="110">
        <v>3.7</v>
      </c>
      <c r="H107" s="36">
        <v>3.7</v>
      </c>
      <c r="I107" s="36">
        <v>3.7</v>
      </c>
      <c r="N107" s="238"/>
      <c r="AC107" s="238"/>
    </row>
    <row r="108" spans="1:29" x14ac:dyDescent="0.25">
      <c r="N108" s="238"/>
      <c r="AC108" s="238"/>
    </row>
    <row r="109" spans="1:29" ht="6" customHeight="1" x14ac:dyDescent="0.25">
      <c r="A109" s="279"/>
      <c r="B109" s="289"/>
      <c r="C109" s="289"/>
      <c r="D109" s="289"/>
      <c r="E109" s="289"/>
      <c r="F109" s="289"/>
      <c r="G109" s="289"/>
      <c r="H109" s="289"/>
      <c r="I109" s="289"/>
      <c r="J109" s="289"/>
      <c r="K109" s="289"/>
      <c r="L109" s="289"/>
      <c r="M109" s="289"/>
      <c r="N109" s="238"/>
      <c r="AC109" s="238"/>
    </row>
    <row r="110" spans="1:29" ht="21" customHeight="1" x14ac:dyDescent="0.25">
      <c r="N110" s="238"/>
      <c r="AC110" s="238"/>
    </row>
    <row r="111" spans="1:29" ht="18" customHeight="1" x14ac:dyDescent="0.25">
      <c r="N111" s="238"/>
      <c r="AC111" s="238"/>
    </row>
    <row r="112" spans="1:29" ht="18" customHeight="1" x14ac:dyDescent="0.25">
      <c r="N112" s="238"/>
      <c r="AC112" s="238"/>
    </row>
    <row r="113" spans="14:29" ht="18" customHeight="1" x14ac:dyDescent="0.25">
      <c r="N113" s="238"/>
      <c r="AC113" s="238"/>
    </row>
    <row r="114" spans="14:29" x14ac:dyDescent="0.25">
      <c r="N114" s="238"/>
      <c r="AC114" s="238"/>
    </row>
    <row r="115" spans="14:29" ht="15.75" customHeight="1" x14ac:dyDescent="0.25">
      <c r="N115" s="238"/>
      <c r="AC115" s="238"/>
    </row>
    <row r="116" spans="14:29" ht="32.1" customHeight="1" x14ac:dyDescent="0.25">
      <c r="N116" s="238"/>
      <c r="AC116" s="238"/>
    </row>
    <row r="117" spans="14:29" ht="32.1" customHeight="1" x14ac:dyDescent="0.25">
      <c r="N117" s="238"/>
      <c r="AC117" s="238"/>
    </row>
    <row r="118" spans="14:29" ht="32.1" customHeight="1" x14ac:dyDescent="0.25">
      <c r="N118" s="238"/>
      <c r="AC118" s="238"/>
    </row>
    <row r="119" spans="14:29" ht="32.1" customHeight="1" x14ac:dyDescent="0.25">
      <c r="N119" s="238"/>
      <c r="AC119" s="238"/>
    </row>
    <row r="120" spans="14:29" x14ac:dyDescent="0.25">
      <c r="N120" s="238"/>
      <c r="AC120" s="238"/>
    </row>
    <row r="121" spans="14:29" x14ac:dyDescent="0.25">
      <c r="N121" s="238"/>
      <c r="AC121" s="238"/>
    </row>
    <row r="122" spans="14:29" x14ac:dyDescent="0.25">
      <c r="N122" s="238"/>
      <c r="AC122" s="238"/>
    </row>
    <row r="123" spans="14:29" x14ac:dyDescent="0.25">
      <c r="N123" s="238"/>
      <c r="AC123" s="238"/>
    </row>
    <row r="124" spans="14:29" x14ac:dyDescent="0.25">
      <c r="N124" s="238"/>
      <c r="AC124" s="238"/>
    </row>
    <row r="125" spans="14:29" x14ac:dyDescent="0.25">
      <c r="N125" s="238"/>
      <c r="AC125" s="238"/>
    </row>
    <row r="126" spans="14:29" x14ac:dyDescent="0.25">
      <c r="N126" s="238"/>
      <c r="AC126" s="238"/>
    </row>
    <row r="127" spans="14:29" x14ac:dyDescent="0.25">
      <c r="N127" s="238"/>
      <c r="AC127" s="238"/>
    </row>
    <row r="128" spans="14:29" x14ac:dyDescent="0.25">
      <c r="N128" s="238"/>
      <c r="AC128" s="238"/>
    </row>
    <row r="129" spans="14:29" x14ac:dyDescent="0.25">
      <c r="N129" s="238"/>
      <c r="AC129" s="238"/>
    </row>
    <row r="130" spans="14:29" x14ac:dyDescent="0.25">
      <c r="N130" s="238"/>
      <c r="AC130" s="238"/>
    </row>
    <row r="131" spans="14:29" x14ac:dyDescent="0.25">
      <c r="N131" s="238"/>
      <c r="AC131" s="238"/>
    </row>
    <row r="132" spans="14:29" x14ac:dyDescent="0.25">
      <c r="N132" s="238"/>
      <c r="AC132" s="238"/>
    </row>
    <row r="133" spans="14:29" x14ac:dyDescent="0.25">
      <c r="N133" s="238"/>
      <c r="AC133" s="238"/>
    </row>
    <row r="134" spans="14:29" x14ac:dyDescent="0.25">
      <c r="N134" s="238"/>
      <c r="AC134" s="238"/>
    </row>
    <row r="135" spans="14:29" x14ac:dyDescent="0.25">
      <c r="N135" s="238"/>
      <c r="AC135" s="238"/>
    </row>
    <row r="136" spans="14:29" ht="6" customHeight="1" x14ac:dyDescent="0.25">
      <c r="N136" s="238"/>
      <c r="AC136" s="238"/>
    </row>
  </sheetData>
  <mergeCells count="22">
    <mergeCell ref="A40:G40"/>
    <mergeCell ref="S12:V12"/>
    <mergeCell ref="N1:N136"/>
    <mergeCell ref="W12:X12"/>
    <mergeCell ref="A93:I93"/>
    <mergeCell ref="S11:V11"/>
    <mergeCell ref="AC1:AC136"/>
    <mergeCell ref="A24:I24"/>
    <mergeCell ref="A75:G75"/>
    <mergeCell ref="W11:X11"/>
    <mergeCell ref="S13:V13"/>
    <mergeCell ref="A2:G2"/>
    <mergeCell ref="P9:AA9"/>
    <mergeCell ref="A57:G57"/>
    <mergeCell ref="S10:V10"/>
    <mergeCell ref="W13:X13"/>
    <mergeCell ref="W10:X10"/>
    <mergeCell ref="A109:M109"/>
    <mergeCell ref="P3:Y3"/>
    <mergeCell ref="O33:AB33"/>
    <mergeCell ref="A13:G13"/>
    <mergeCell ref="P4:Z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49"/>
  <sheetViews>
    <sheetView showGridLines="0" zoomScaleNormal="100" workbookViewId="0"/>
  </sheetViews>
  <sheetFormatPr defaultRowHeight="15" x14ac:dyDescent="0.25"/>
  <cols>
    <col min="1" max="1" width="58" customWidth="1"/>
    <col min="2" max="2" width="35.42578125" customWidth="1"/>
    <col min="3" max="4" width="20.7109375" customWidth="1"/>
    <col min="5" max="6" width="11" customWidth="1"/>
    <col min="7" max="7" width="1.7109375" customWidth="1"/>
    <col min="23" max="23" width="1.7109375" customWidth="1"/>
  </cols>
  <sheetData>
    <row r="1" spans="1:7" x14ac:dyDescent="0.25">
      <c r="G1" s="257"/>
    </row>
    <row r="2" spans="1:7" x14ac:dyDescent="0.25">
      <c r="G2" s="238"/>
    </row>
    <row r="3" spans="1:7" x14ac:dyDescent="0.25">
      <c r="G3" s="238"/>
    </row>
    <row r="4" spans="1:7" ht="9" customHeight="1" x14ac:dyDescent="0.25">
      <c r="A4" s="257"/>
      <c r="B4" s="238"/>
      <c r="C4" s="238"/>
      <c r="D4" s="238"/>
      <c r="E4" s="238"/>
      <c r="F4" s="238"/>
      <c r="G4" s="238"/>
    </row>
    <row r="5" spans="1:7" x14ac:dyDescent="0.25">
      <c r="G5" s="238"/>
    </row>
    <row r="6" spans="1:7" ht="15.75" customHeight="1" x14ac:dyDescent="0.25">
      <c r="A6" s="178" t="s">
        <v>126</v>
      </c>
      <c r="G6" s="238"/>
    </row>
    <row r="7" spans="1:7" ht="23.25" customHeight="1" x14ac:dyDescent="0.25">
      <c r="B7" s="173" t="s">
        <v>127</v>
      </c>
      <c r="C7" s="173" t="s">
        <v>128</v>
      </c>
      <c r="D7" s="173" t="s">
        <v>129</v>
      </c>
      <c r="G7" s="238"/>
    </row>
    <row r="8" spans="1:7" x14ac:dyDescent="0.25">
      <c r="A8" s="174" t="s">
        <v>55</v>
      </c>
      <c r="B8" s="177">
        <v>79</v>
      </c>
      <c r="C8" s="177">
        <v>99.3</v>
      </c>
      <c r="D8" s="177">
        <v>41.2</v>
      </c>
      <c r="G8" s="238"/>
    </row>
    <row r="9" spans="1:7" x14ac:dyDescent="0.25">
      <c r="A9" s="174" t="s">
        <v>56</v>
      </c>
      <c r="B9" s="177">
        <v>85.1</v>
      </c>
      <c r="C9" s="177">
        <v>99.8</v>
      </c>
      <c r="D9" s="177">
        <v>32.299999999999997</v>
      </c>
      <c r="G9" s="238"/>
    </row>
    <row r="10" spans="1:7" x14ac:dyDescent="0.25">
      <c r="A10" s="174" t="s">
        <v>57</v>
      </c>
      <c r="B10" s="177">
        <v>80.3</v>
      </c>
      <c r="C10" s="177">
        <v>99.6</v>
      </c>
      <c r="D10" s="177">
        <v>43.6</v>
      </c>
      <c r="G10" s="238"/>
    </row>
    <row r="11" spans="1:7" x14ac:dyDescent="0.25">
      <c r="A11" s="174" t="s">
        <v>58</v>
      </c>
      <c r="B11" s="177">
        <v>79.8</v>
      </c>
      <c r="C11" s="177">
        <v>99.9</v>
      </c>
      <c r="D11" s="177">
        <v>33.200000000000003</v>
      </c>
      <c r="G11" s="238"/>
    </row>
    <row r="12" spans="1:7" x14ac:dyDescent="0.25">
      <c r="A12" s="174" t="s">
        <v>59</v>
      </c>
      <c r="B12" s="177">
        <v>85.1</v>
      </c>
      <c r="C12" s="177">
        <v>98</v>
      </c>
      <c r="D12" s="177">
        <v>42.4</v>
      </c>
      <c r="G12" s="238"/>
    </row>
    <row r="13" spans="1:7" x14ac:dyDescent="0.25">
      <c r="A13" s="174" t="s">
        <v>60</v>
      </c>
      <c r="B13" s="177">
        <v>74.2</v>
      </c>
      <c r="C13" s="177">
        <v>99.2</v>
      </c>
      <c r="D13" s="177">
        <v>44.2</v>
      </c>
      <c r="G13" s="238"/>
    </row>
    <row r="14" spans="1:7" x14ac:dyDescent="0.25">
      <c r="A14" s="174" t="s">
        <v>61</v>
      </c>
      <c r="B14" s="177">
        <v>82.7</v>
      </c>
      <c r="C14" s="177">
        <v>99.6</v>
      </c>
      <c r="D14" s="177">
        <v>39.200000000000003</v>
      </c>
      <c r="G14" s="238"/>
    </row>
    <row r="15" spans="1:7" x14ac:dyDescent="0.25">
      <c r="A15" s="174" t="s">
        <v>62</v>
      </c>
      <c r="B15" s="177">
        <v>83.5</v>
      </c>
      <c r="C15" s="177">
        <v>99.1</v>
      </c>
      <c r="D15" s="177">
        <v>45.3</v>
      </c>
      <c r="G15" s="238"/>
    </row>
    <row r="16" spans="1:7" x14ac:dyDescent="0.25">
      <c r="G16" s="238"/>
    </row>
    <row r="17" spans="1:7" ht="6" customHeight="1" x14ac:dyDescent="0.25">
      <c r="A17" s="279"/>
      <c r="B17" s="238"/>
      <c r="C17" s="238"/>
      <c r="D17" s="238"/>
      <c r="E17" s="238"/>
      <c r="F17" s="238"/>
      <c r="G17" s="238"/>
    </row>
    <row r="18" spans="1:7" ht="6" customHeight="1" x14ac:dyDescent="0.25">
      <c r="G18" s="238"/>
    </row>
    <row r="19" spans="1:7" ht="21" customHeight="1" x14ac:dyDescent="0.25">
      <c r="A19" s="292" t="s">
        <v>24</v>
      </c>
      <c r="B19" s="260"/>
      <c r="C19" s="260"/>
      <c r="D19" s="260"/>
      <c r="E19" s="260"/>
      <c r="F19" s="260"/>
      <c r="G19" s="238"/>
    </row>
    <row r="20" spans="1:7" ht="18" customHeight="1" x14ac:dyDescent="0.25">
      <c r="A20" s="293" t="s">
        <v>130</v>
      </c>
      <c r="B20" s="263"/>
      <c r="C20" s="263"/>
      <c r="D20" s="263"/>
      <c r="E20" s="263"/>
      <c r="F20" s="264"/>
      <c r="G20" s="238"/>
    </row>
    <row r="21" spans="1:7" ht="18" customHeight="1" x14ac:dyDescent="0.25">
      <c r="A21" s="265"/>
      <c r="B21" s="238"/>
      <c r="C21" s="238"/>
      <c r="D21" s="238"/>
      <c r="E21" s="238"/>
      <c r="F21" s="266"/>
      <c r="G21" s="238"/>
    </row>
    <row r="22" spans="1:7" ht="18" customHeight="1" x14ac:dyDescent="0.25">
      <c r="A22" s="267"/>
      <c r="B22" s="260"/>
      <c r="C22" s="260"/>
      <c r="D22" s="260"/>
      <c r="E22" s="260"/>
      <c r="F22" s="268"/>
      <c r="G22" s="238"/>
    </row>
    <row r="23" spans="1:7" x14ac:dyDescent="0.25">
      <c r="G23" s="238"/>
    </row>
    <row r="24" spans="1:7" x14ac:dyDescent="0.25">
      <c r="G24" s="238"/>
    </row>
    <row r="25" spans="1:7" x14ac:dyDescent="0.25">
      <c r="G25" s="238"/>
    </row>
    <row r="26" spans="1:7" x14ac:dyDescent="0.25">
      <c r="G26" s="238"/>
    </row>
    <row r="27" spans="1:7" x14ac:dyDescent="0.25">
      <c r="G27" s="238"/>
    </row>
    <row r="28" spans="1:7" x14ac:dyDescent="0.25">
      <c r="G28" s="238"/>
    </row>
    <row r="29" spans="1:7" x14ac:dyDescent="0.25">
      <c r="G29" s="238"/>
    </row>
    <row r="30" spans="1:7" x14ac:dyDescent="0.25">
      <c r="G30" s="238"/>
    </row>
    <row r="31" spans="1:7" x14ac:dyDescent="0.25">
      <c r="G31" s="238"/>
    </row>
    <row r="32" spans="1:7" x14ac:dyDescent="0.25">
      <c r="G32" s="238"/>
    </row>
    <row r="33" spans="7:7" x14ac:dyDescent="0.25">
      <c r="G33" s="238"/>
    </row>
    <row r="34" spans="7:7" x14ac:dyDescent="0.25">
      <c r="G34" s="238"/>
    </row>
    <row r="35" spans="7:7" x14ac:dyDescent="0.25">
      <c r="G35" s="238"/>
    </row>
    <row r="36" spans="7:7" x14ac:dyDescent="0.25">
      <c r="G36" s="238"/>
    </row>
    <row r="37" spans="7:7" x14ac:dyDescent="0.25">
      <c r="G37" s="238"/>
    </row>
    <row r="38" spans="7:7" x14ac:dyDescent="0.25">
      <c r="G38" s="238"/>
    </row>
    <row r="39" spans="7:7" x14ac:dyDescent="0.25">
      <c r="G39" s="238"/>
    </row>
    <row r="40" spans="7:7" x14ac:dyDescent="0.25">
      <c r="G40" s="238"/>
    </row>
    <row r="41" spans="7:7" x14ac:dyDescent="0.25">
      <c r="G41" s="238"/>
    </row>
    <row r="42" spans="7:7" x14ac:dyDescent="0.25">
      <c r="G42" s="238"/>
    </row>
    <row r="43" spans="7:7" x14ac:dyDescent="0.25">
      <c r="G43" s="238"/>
    </row>
    <row r="44" spans="7:7" x14ac:dyDescent="0.25">
      <c r="G44" s="238"/>
    </row>
    <row r="45" spans="7:7" x14ac:dyDescent="0.25">
      <c r="G45" s="238"/>
    </row>
    <row r="46" spans="7:7" ht="6" customHeight="1" x14ac:dyDescent="0.25">
      <c r="G46" s="238"/>
    </row>
    <row r="47" spans="7:7" x14ac:dyDescent="0.25">
      <c r="G47" s="238"/>
    </row>
    <row r="48" spans="7:7" x14ac:dyDescent="0.25">
      <c r="G48" s="238"/>
    </row>
    <row r="49" spans="1:7" ht="12.75" customHeight="1" x14ac:dyDescent="0.25">
      <c r="A49" s="257"/>
      <c r="B49" s="238"/>
      <c r="C49" s="238"/>
      <c r="D49" s="238"/>
      <c r="E49" s="238"/>
      <c r="F49" s="238"/>
      <c r="G49" s="238"/>
    </row>
  </sheetData>
  <mergeCells count="6">
    <mergeCell ref="G1:G49"/>
    <mergeCell ref="A49:F49"/>
    <mergeCell ref="A19:F19"/>
    <mergeCell ref="A17:F17"/>
    <mergeCell ref="A4:F4"/>
    <mergeCell ref="A20:F22"/>
  </mergeCells>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29"/>
  <sheetViews>
    <sheetView showGridLines="0" topLeftCell="B1" zoomScaleNormal="100" workbookViewId="0">
      <selection activeCell="P38" sqref="P38"/>
    </sheetView>
  </sheetViews>
  <sheetFormatPr defaultRowHeight="15" x14ac:dyDescent="0.25"/>
  <cols>
    <col min="1" max="1" width="36" customWidth="1"/>
    <col min="13" max="13" width="1.7109375" customWidth="1"/>
    <col min="21" max="21" width="11" customWidth="1"/>
    <col min="29" max="29" width="1.7109375" customWidth="1"/>
  </cols>
  <sheetData>
    <row r="1" spans="1:29" x14ac:dyDescent="0.25">
      <c r="M1" s="257"/>
      <c r="AC1" s="257"/>
    </row>
    <row r="2" spans="1:29" ht="21" customHeight="1" x14ac:dyDescent="0.25">
      <c r="M2" s="238"/>
      <c r="O2" s="281" t="s">
        <v>24</v>
      </c>
      <c r="P2" s="238"/>
      <c r="Q2" s="238"/>
      <c r="R2" s="238"/>
      <c r="S2" s="238"/>
      <c r="T2" s="238"/>
      <c r="U2" s="238"/>
      <c r="V2" s="238"/>
      <c r="W2" s="238"/>
      <c r="X2" s="238"/>
      <c r="Y2" s="238"/>
      <c r="Z2" s="238"/>
      <c r="AA2" s="238"/>
      <c r="AC2" s="238"/>
    </row>
    <row r="3" spans="1:29" ht="15" customHeight="1" x14ac:dyDescent="0.25">
      <c r="M3" s="238"/>
      <c r="O3" s="274" t="s">
        <v>131</v>
      </c>
      <c r="P3" s="238"/>
      <c r="Q3" s="238"/>
      <c r="R3" s="238"/>
      <c r="S3" s="238"/>
      <c r="T3" s="238"/>
      <c r="U3" s="238"/>
      <c r="V3" s="238"/>
      <c r="W3" s="238"/>
      <c r="X3" s="238"/>
      <c r="Y3" s="238"/>
      <c r="Z3" s="238"/>
      <c r="AA3" s="238"/>
      <c r="AC3" s="238"/>
    </row>
    <row r="4" spans="1:29" ht="8.25" customHeight="1" x14ac:dyDescent="0.25">
      <c r="A4" s="257"/>
      <c r="B4" s="238"/>
      <c r="C4" s="238"/>
      <c r="D4" s="238"/>
      <c r="E4" s="238"/>
      <c r="F4" s="238"/>
      <c r="G4" s="238"/>
      <c r="H4" s="238"/>
      <c r="I4" s="238"/>
      <c r="J4" s="238"/>
      <c r="K4" s="238"/>
      <c r="L4" s="238"/>
      <c r="M4" s="238"/>
      <c r="O4" s="238"/>
      <c r="P4" s="238"/>
      <c r="Q4" s="238"/>
      <c r="R4" s="238"/>
      <c r="S4" s="238"/>
      <c r="T4" s="238"/>
      <c r="U4" s="238"/>
      <c r="V4" s="238"/>
      <c r="W4" s="238"/>
      <c r="X4" s="238"/>
      <c r="Y4" s="238"/>
      <c r="Z4" s="238"/>
      <c r="AA4" s="238"/>
      <c r="AC4" s="238"/>
    </row>
    <row r="5" spans="1:29" ht="15.75" customHeight="1" thickBot="1" x14ac:dyDescent="0.3">
      <c r="M5" s="238"/>
      <c r="O5" s="238"/>
      <c r="P5" s="238"/>
      <c r="Q5" s="238"/>
      <c r="R5" s="238"/>
      <c r="S5" s="238"/>
      <c r="T5" s="238"/>
      <c r="U5" s="238"/>
      <c r="V5" s="238"/>
      <c r="W5" s="238"/>
      <c r="X5" s="238"/>
      <c r="Y5" s="238"/>
      <c r="Z5" s="238"/>
      <c r="AA5" s="238"/>
      <c r="AC5" s="238"/>
    </row>
    <row r="6" spans="1:29" ht="18.600000000000001" customHeight="1" thickBot="1" x14ac:dyDescent="0.35">
      <c r="A6" s="287" t="s">
        <v>132</v>
      </c>
      <c r="B6" s="249"/>
      <c r="C6" s="249"/>
      <c r="D6" s="249"/>
      <c r="E6" s="249"/>
      <c r="F6" s="249"/>
      <c r="G6" s="249"/>
      <c r="H6" s="249"/>
      <c r="I6" s="249"/>
      <c r="J6" s="249"/>
      <c r="K6" s="250"/>
      <c r="M6" s="238"/>
      <c r="O6" s="238"/>
      <c r="P6" s="238"/>
      <c r="Q6" s="238"/>
      <c r="R6" s="238"/>
      <c r="S6" s="238"/>
      <c r="T6" s="238"/>
      <c r="U6" s="238"/>
      <c r="V6" s="238"/>
      <c r="W6" s="238"/>
      <c r="X6" s="238"/>
      <c r="Y6" s="238"/>
      <c r="Z6" s="238"/>
      <c r="AA6" s="238"/>
      <c r="AC6" s="238"/>
    </row>
    <row r="7" spans="1:29" ht="15" customHeight="1" x14ac:dyDescent="0.25">
      <c r="A7" s="25"/>
      <c r="B7" s="26">
        <v>2011</v>
      </c>
      <c r="C7" s="26">
        <v>2012</v>
      </c>
      <c r="D7" s="26">
        <v>2013</v>
      </c>
      <c r="E7" s="26">
        <v>2014</v>
      </c>
      <c r="F7" s="26">
        <v>2015</v>
      </c>
      <c r="G7" s="27">
        <v>2016</v>
      </c>
      <c r="H7" s="26">
        <v>2017</v>
      </c>
      <c r="I7" s="26">
        <v>2018</v>
      </c>
      <c r="J7" s="26">
        <v>2019</v>
      </c>
      <c r="K7" s="26">
        <v>2020</v>
      </c>
      <c r="M7" s="238"/>
      <c r="O7" s="238"/>
      <c r="P7" s="238"/>
      <c r="Q7" s="238"/>
      <c r="R7" s="238"/>
      <c r="S7" s="238"/>
      <c r="T7" s="238"/>
      <c r="U7" s="238"/>
      <c r="V7" s="238"/>
      <c r="W7" s="238"/>
      <c r="X7" s="238"/>
      <c r="Y7" s="238"/>
      <c r="Z7" s="238"/>
      <c r="AA7" s="238"/>
      <c r="AC7" s="238"/>
    </row>
    <row r="8" spans="1:29" ht="33.75" customHeight="1" x14ac:dyDescent="0.25">
      <c r="A8" s="28" t="s">
        <v>133</v>
      </c>
      <c r="B8" s="29">
        <v>456.4</v>
      </c>
      <c r="C8" s="29">
        <v>592.20000000000005</v>
      </c>
      <c r="D8" s="29">
        <v>740.8</v>
      </c>
      <c r="E8" s="29">
        <v>897</v>
      </c>
      <c r="F8" s="30">
        <v>1003.5</v>
      </c>
      <c r="G8" s="31">
        <v>1152.3</v>
      </c>
      <c r="H8" s="29">
        <v>1445.3</v>
      </c>
      <c r="I8" s="29">
        <v>1840.5</v>
      </c>
      <c r="J8" s="152">
        <v>2392.5</v>
      </c>
      <c r="K8" s="152">
        <v>2685.2</v>
      </c>
      <c r="M8" s="238"/>
      <c r="AC8" s="238"/>
    </row>
    <row r="9" spans="1:29" ht="21" customHeight="1" x14ac:dyDescent="0.25">
      <c r="A9" s="28" t="s">
        <v>134</v>
      </c>
      <c r="B9" s="32"/>
      <c r="C9" s="32"/>
      <c r="D9" s="32"/>
      <c r="E9" s="32"/>
      <c r="F9" s="32"/>
      <c r="G9" s="33"/>
      <c r="H9" s="34"/>
      <c r="I9" s="34"/>
      <c r="J9" s="103"/>
      <c r="K9" s="103"/>
      <c r="M9" s="238"/>
      <c r="AC9" s="238"/>
    </row>
    <row r="10" spans="1:29" ht="29.25" customHeight="1" x14ac:dyDescent="0.25">
      <c r="A10" s="28" t="s">
        <v>135</v>
      </c>
      <c r="B10" s="29">
        <v>177.3</v>
      </c>
      <c r="C10" s="29">
        <v>182.3</v>
      </c>
      <c r="D10" s="29">
        <v>183.2</v>
      </c>
      <c r="E10" s="29">
        <v>200.9</v>
      </c>
      <c r="F10" s="35">
        <v>181.3</v>
      </c>
      <c r="G10" s="36">
        <v>190</v>
      </c>
      <c r="H10" s="29">
        <v>234.5</v>
      </c>
      <c r="I10" s="29">
        <v>248.1</v>
      </c>
      <c r="J10" s="103">
        <v>264.2</v>
      </c>
      <c r="K10" s="103">
        <v>154.80000000000001</v>
      </c>
      <c r="M10" s="238"/>
      <c r="AC10" s="238"/>
    </row>
    <row r="11" spans="1:29" ht="25.5" customHeight="1" x14ac:dyDescent="0.25">
      <c r="A11" s="28" t="s">
        <v>136</v>
      </c>
      <c r="B11" s="29">
        <v>272.7</v>
      </c>
      <c r="C11" s="29">
        <v>402.1</v>
      </c>
      <c r="D11" s="29">
        <v>545.5</v>
      </c>
      <c r="E11" s="29">
        <v>684.3</v>
      </c>
      <c r="F11" s="35">
        <v>813.4</v>
      </c>
      <c r="G11" s="36">
        <v>951.5</v>
      </c>
      <c r="H11" s="29">
        <v>1195.9000000000001</v>
      </c>
      <c r="I11" s="29">
        <v>1573</v>
      </c>
      <c r="J11" s="152">
        <v>2105.3000000000002</v>
      </c>
      <c r="K11" s="152">
        <v>2509.9</v>
      </c>
      <c r="M11" s="238"/>
      <c r="AC11" s="238"/>
    </row>
    <row r="12" spans="1:29" ht="42.75" customHeight="1" x14ac:dyDescent="0.25">
      <c r="A12" s="28" t="s">
        <v>137</v>
      </c>
      <c r="B12" s="29">
        <v>6.4</v>
      </c>
      <c r="C12" s="29">
        <v>7.8</v>
      </c>
      <c r="D12" s="29">
        <v>12.1</v>
      </c>
      <c r="E12" s="29">
        <v>11.8</v>
      </c>
      <c r="F12" s="35">
        <v>8.8000000000000007</v>
      </c>
      <c r="G12" s="36">
        <v>10.8</v>
      </c>
      <c r="H12" s="29">
        <v>15</v>
      </c>
      <c r="I12" s="29">
        <v>19.399999999999999</v>
      </c>
      <c r="J12" s="103">
        <v>23</v>
      </c>
      <c r="K12" s="103">
        <v>20.5</v>
      </c>
      <c r="M12" s="238"/>
      <c r="AC12" s="238"/>
    </row>
    <row r="13" spans="1:29" ht="87.75" customHeight="1" x14ac:dyDescent="0.25">
      <c r="A13" s="28" t="s">
        <v>138</v>
      </c>
      <c r="B13" s="29">
        <v>9</v>
      </c>
      <c r="C13" s="29">
        <v>10.6</v>
      </c>
      <c r="D13" s="29">
        <v>10</v>
      </c>
      <c r="E13" s="29">
        <v>11.5</v>
      </c>
      <c r="F13" s="35">
        <v>15.1</v>
      </c>
      <c r="G13" s="36">
        <v>17</v>
      </c>
      <c r="H13" s="29">
        <v>18.600000000000001</v>
      </c>
      <c r="I13" s="29">
        <v>21.2</v>
      </c>
      <c r="J13" s="103">
        <v>25</v>
      </c>
      <c r="K13" s="103">
        <v>30.7</v>
      </c>
      <c r="M13" s="238"/>
      <c r="AC13" s="238"/>
    </row>
    <row r="14" spans="1:29" x14ac:dyDescent="0.25">
      <c r="M14" s="238"/>
      <c r="AC14" s="238"/>
    </row>
    <row r="15" spans="1:29" ht="6" customHeight="1" x14ac:dyDescent="0.25">
      <c r="A15" s="247"/>
      <c r="B15" s="238"/>
      <c r="C15" s="238"/>
      <c r="D15" s="238"/>
      <c r="E15" s="238"/>
      <c r="F15" s="238"/>
      <c r="G15" s="238"/>
      <c r="H15" s="238"/>
      <c r="I15" s="238"/>
      <c r="J15" s="238"/>
      <c r="K15" s="238"/>
      <c r="L15" s="238"/>
      <c r="M15" s="238"/>
      <c r="AC15" s="238"/>
    </row>
    <row r="16" spans="1:29" ht="21" customHeight="1" x14ac:dyDescent="0.25">
      <c r="M16" s="238"/>
      <c r="AC16" s="238"/>
    </row>
    <row r="17" spans="13:29" ht="18" customHeight="1" x14ac:dyDescent="0.25">
      <c r="M17" s="238"/>
      <c r="AC17" s="238"/>
    </row>
    <row r="18" spans="13:29" ht="18" customHeight="1" x14ac:dyDescent="0.25">
      <c r="M18" s="238"/>
      <c r="AC18" s="238"/>
    </row>
    <row r="19" spans="13:29" ht="18" customHeight="1" x14ac:dyDescent="0.25">
      <c r="M19" s="238"/>
      <c r="AC19" s="238"/>
    </row>
    <row r="20" spans="13:29" x14ac:dyDescent="0.25">
      <c r="M20" s="238"/>
      <c r="AC20" s="238"/>
    </row>
    <row r="21" spans="13:29" ht="15.75" customHeight="1" x14ac:dyDescent="0.25">
      <c r="M21" s="238"/>
      <c r="AC21" s="238"/>
    </row>
    <row r="22" spans="13:29" ht="15.75" customHeight="1" x14ac:dyDescent="0.25">
      <c r="M22" s="238"/>
      <c r="AC22" s="238"/>
    </row>
    <row r="23" spans="13:29" ht="16.5" customHeight="1" x14ac:dyDescent="0.25">
      <c r="M23" s="238"/>
      <c r="O23" s="285" t="s">
        <v>139</v>
      </c>
      <c r="P23" s="238"/>
      <c r="Q23" s="238"/>
      <c r="R23" s="238"/>
      <c r="S23" s="238"/>
      <c r="T23" s="238"/>
      <c r="U23" s="238"/>
      <c r="V23" s="238"/>
      <c r="W23" s="238"/>
      <c r="X23" s="238"/>
      <c r="Y23" s="238"/>
      <c r="AC23" s="238"/>
    </row>
    <row r="24" spans="13:29" ht="18" customHeight="1" x14ac:dyDescent="0.25">
      <c r="M24" s="238"/>
      <c r="R24" s="270" t="s">
        <v>34</v>
      </c>
      <c r="S24" s="254"/>
      <c r="T24" s="254"/>
      <c r="U24" s="255"/>
      <c r="V24" s="198">
        <f>K8-B8</f>
        <v>2228.7999999999997</v>
      </c>
      <c r="AC24" s="238"/>
    </row>
    <row r="25" spans="13:29" ht="15.75" customHeight="1" x14ac:dyDescent="0.25">
      <c r="M25" s="238"/>
      <c r="R25" s="270" t="s">
        <v>35</v>
      </c>
      <c r="S25" s="254"/>
      <c r="T25" s="254"/>
      <c r="U25" s="255"/>
      <c r="V25" s="199">
        <f>(K8/B8-1)*100</f>
        <v>488.34355828220862</v>
      </c>
      <c r="AC25" s="238"/>
    </row>
    <row r="26" spans="13:29" x14ac:dyDescent="0.25">
      <c r="M26" s="238"/>
      <c r="R26" s="270" t="s">
        <v>36</v>
      </c>
      <c r="S26" s="254"/>
      <c r="T26" s="254"/>
      <c r="U26" s="255"/>
      <c r="V26" s="199">
        <f>(K8/B8)^(1/9)*100</f>
        <v>121.76278023124816</v>
      </c>
      <c r="AC26" s="238"/>
    </row>
    <row r="27" spans="13:29" x14ac:dyDescent="0.25">
      <c r="M27" s="238"/>
      <c r="R27" s="270" t="s">
        <v>37</v>
      </c>
      <c r="S27" s="254"/>
      <c r="T27" s="254"/>
      <c r="U27" s="255"/>
      <c r="V27" s="199">
        <f>V26-100</f>
        <v>21.762780231248158</v>
      </c>
      <c r="AC27" s="238"/>
    </row>
    <row r="28" spans="13:29" x14ac:dyDescent="0.25">
      <c r="M28" s="238"/>
      <c r="AC28" s="238"/>
    </row>
    <row r="29" spans="13:29" ht="6" customHeight="1" x14ac:dyDescent="0.25">
      <c r="M29" s="238"/>
      <c r="N29" s="237"/>
      <c r="O29" s="238"/>
      <c r="P29" s="238"/>
      <c r="Q29" s="238"/>
      <c r="R29" s="238"/>
      <c r="S29" s="238"/>
      <c r="T29" s="238"/>
      <c r="U29" s="238"/>
      <c r="V29" s="238"/>
      <c r="W29" s="238"/>
      <c r="X29" s="238"/>
      <c r="Y29" s="238"/>
      <c r="Z29" s="238"/>
      <c r="AA29" s="238"/>
      <c r="AB29" s="238"/>
      <c r="AC29" s="238"/>
    </row>
  </sheetData>
  <mergeCells count="13">
    <mergeCell ref="AC1:AC29"/>
    <mergeCell ref="A4:L4"/>
    <mergeCell ref="A6:K6"/>
    <mergeCell ref="R27:U27"/>
    <mergeCell ref="A15:L15"/>
    <mergeCell ref="M1:M29"/>
    <mergeCell ref="N29:AB29"/>
    <mergeCell ref="R24:U24"/>
    <mergeCell ref="R26:U26"/>
    <mergeCell ref="O3:AA7"/>
    <mergeCell ref="O23:Y23"/>
    <mergeCell ref="R25:U25"/>
    <mergeCell ref="O2:AA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C57"/>
  <sheetViews>
    <sheetView showGridLines="0" workbookViewId="0">
      <selection activeCell="F1" sqref="F1"/>
    </sheetView>
  </sheetViews>
  <sheetFormatPr defaultRowHeight="15" x14ac:dyDescent="0.25"/>
  <cols>
    <col min="1" max="1" width="36" customWidth="1"/>
    <col min="12" max="12" width="4.7109375" customWidth="1"/>
    <col min="13" max="13" width="1.7109375" customWidth="1"/>
    <col min="14" max="14" width="4.140625" customWidth="1"/>
    <col min="28" max="28" width="4.7109375" customWidth="1"/>
    <col min="29" max="29" width="1.7109375" customWidth="1"/>
  </cols>
  <sheetData>
    <row r="1" spans="1:29" x14ac:dyDescent="0.25">
      <c r="M1" s="257"/>
      <c r="AC1" s="257"/>
    </row>
    <row r="2" spans="1:29" x14ac:dyDescent="0.25">
      <c r="M2" s="238"/>
      <c r="AC2" s="238"/>
    </row>
    <row r="3" spans="1:29" ht="21" customHeight="1" x14ac:dyDescent="0.25">
      <c r="M3" s="238"/>
      <c r="O3" s="281" t="s">
        <v>24</v>
      </c>
      <c r="P3" s="238"/>
      <c r="Q3" s="238"/>
      <c r="R3" s="238"/>
      <c r="S3" s="238"/>
      <c r="T3" s="238"/>
      <c r="U3" s="238"/>
      <c r="V3" s="238"/>
      <c r="W3" s="238"/>
      <c r="X3" s="238"/>
      <c r="Y3" s="238"/>
      <c r="Z3" s="238"/>
      <c r="AA3" s="238"/>
      <c r="AC3" s="238"/>
    </row>
    <row r="4" spans="1:29" ht="15" customHeight="1" x14ac:dyDescent="0.25">
      <c r="M4" s="238"/>
      <c r="O4" s="274" t="s">
        <v>140</v>
      </c>
      <c r="P4" s="238"/>
      <c r="Q4" s="238"/>
      <c r="R4" s="238"/>
      <c r="S4" s="238"/>
      <c r="T4" s="238"/>
      <c r="U4" s="238"/>
      <c r="V4" s="238"/>
      <c r="W4" s="238"/>
      <c r="X4" s="238"/>
      <c r="Y4" s="238"/>
      <c r="Z4" s="238"/>
      <c r="AA4" s="238"/>
      <c r="AC4" s="238"/>
    </row>
    <row r="5" spans="1:29" ht="15" customHeight="1" x14ac:dyDescent="0.25">
      <c r="M5" s="238"/>
      <c r="O5" s="238"/>
      <c r="P5" s="238"/>
      <c r="Q5" s="238"/>
      <c r="R5" s="238"/>
      <c r="S5" s="238"/>
      <c r="T5" s="238"/>
      <c r="U5" s="238"/>
      <c r="V5" s="238"/>
      <c r="W5" s="238"/>
      <c r="X5" s="238"/>
      <c r="Y5" s="238"/>
      <c r="Z5" s="238"/>
      <c r="AA5" s="238"/>
      <c r="AC5" s="238"/>
    </row>
    <row r="6" spans="1:29" ht="7.5" customHeight="1" x14ac:dyDescent="0.25">
      <c r="A6" s="257"/>
      <c r="B6" s="238"/>
      <c r="C6" s="238"/>
      <c r="D6" s="238"/>
      <c r="E6" s="238"/>
      <c r="F6" s="238"/>
      <c r="G6" s="238"/>
      <c r="H6" s="238"/>
      <c r="I6" s="238"/>
      <c r="J6" s="238"/>
      <c r="K6" s="238"/>
      <c r="L6" s="238"/>
      <c r="M6" s="238"/>
      <c r="O6" s="238"/>
      <c r="P6" s="238"/>
      <c r="Q6" s="238"/>
      <c r="R6" s="238"/>
      <c r="S6" s="238"/>
      <c r="T6" s="238"/>
      <c r="U6" s="238"/>
      <c r="V6" s="238"/>
      <c r="W6" s="238"/>
      <c r="X6" s="238"/>
      <c r="Y6" s="238"/>
      <c r="Z6" s="238"/>
      <c r="AA6" s="238"/>
      <c r="AC6" s="238"/>
    </row>
    <row r="7" spans="1:29" ht="15.75" customHeight="1" thickBot="1" x14ac:dyDescent="0.3">
      <c r="M7" s="238"/>
      <c r="O7" s="238"/>
      <c r="P7" s="238"/>
      <c r="Q7" s="238"/>
      <c r="R7" s="238"/>
      <c r="S7" s="238"/>
      <c r="T7" s="238"/>
      <c r="U7" s="238"/>
      <c r="V7" s="238"/>
      <c r="W7" s="238"/>
      <c r="X7" s="238"/>
      <c r="Y7" s="238"/>
      <c r="Z7" s="238"/>
      <c r="AA7" s="238"/>
      <c r="AC7" s="238"/>
    </row>
    <row r="8" spans="1:29" ht="18.600000000000001" customHeight="1" thickBot="1" x14ac:dyDescent="0.35">
      <c r="A8" s="287" t="s">
        <v>141</v>
      </c>
      <c r="B8" s="249"/>
      <c r="C8" s="249"/>
      <c r="D8" s="249"/>
      <c r="E8" s="249"/>
      <c r="F8" s="249"/>
      <c r="G8" s="249"/>
      <c r="H8" s="249"/>
      <c r="I8" s="249"/>
      <c r="J8" s="249"/>
      <c r="K8" s="250"/>
      <c r="L8" s="107"/>
      <c r="M8" s="238"/>
      <c r="AC8" s="238"/>
    </row>
    <row r="9" spans="1:29" ht="15.75" customHeight="1" x14ac:dyDescent="0.25">
      <c r="A9" s="25"/>
      <c r="B9" s="39">
        <v>2011</v>
      </c>
      <c r="C9" s="39">
        <v>2012</v>
      </c>
      <c r="D9" s="39">
        <v>2013</v>
      </c>
      <c r="E9" s="39">
        <v>2014</v>
      </c>
      <c r="F9" s="39">
        <v>2015</v>
      </c>
      <c r="G9" s="39">
        <v>2016</v>
      </c>
      <c r="H9" s="39">
        <v>2017</v>
      </c>
      <c r="I9" s="39">
        <v>2018</v>
      </c>
      <c r="J9" s="25">
        <v>2019</v>
      </c>
      <c r="K9" s="25">
        <v>2020</v>
      </c>
      <c r="L9" s="107"/>
      <c r="M9" s="238"/>
      <c r="Q9" s="285" t="s">
        <v>142</v>
      </c>
      <c r="R9" s="238"/>
      <c r="S9" s="238"/>
      <c r="T9" s="238"/>
      <c r="U9" s="238"/>
      <c r="V9" s="238"/>
      <c r="W9" s="238"/>
      <c r="X9" s="238"/>
      <c r="Y9" s="238"/>
      <c r="AC9" s="238"/>
    </row>
    <row r="10" spans="1:29" ht="31.5" customHeight="1" x14ac:dyDescent="0.25">
      <c r="A10" s="28" t="s">
        <v>133</v>
      </c>
      <c r="B10" s="29">
        <v>180.2</v>
      </c>
      <c r="C10" s="29">
        <v>206.4</v>
      </c>
      <c r="D10" s="29">
        <v>194.1</v>
      </c>
      <c r="E10" s="29">
        <v>223</v>
      </c>
      <c r="F10" s="29">
        <v>206.1</v>
      </c>
      <c r="G10" s="29">
        <v>231.6</v>
      </c>
      <c r="H10" s="29">
        <v>236.1</v>
      </c>
      <c r="I10" s="29">
        <v>279.10000000000002</v>
      </c>
      <c r="J10" s="200">
        <v>403.9</v>
      </c>
      <c r="K10" s="200">
        <v>423.1</v>
      </c>
      <c r="L10" s="107"/>
      <c r="M10" s="238"/>
      <c r="R10" s="270" t="s">
        <v>34</v>
      </c>
      <c r="S10" s="254"/>
      <c r="T10" s="254"/>
      <c r="U10" s="254"/>
      <c r="V10" s="255"/>
      <c r="W10" s="188">
        <f>K10-B10</f>
        <v>242.90000000000003</v>
      </c>
      <c r="AC10" s="238"/>
    </row>
    <row r="11" spans="1:29" ht="25.5" customHeight="1" x14ac:dyDescent="0.25">
      <c r="A11" s="134" t="s">
        <v>134</v>
      </c>
      <c r="B11" s="32"/>
      <c r="C11" s="32"/>
      <c r="D11" s="32"/>
      <c r="E11" s="32"/>
      <c r="F11" s="32"/>
      <c r="G11" s="32"/>
      <c r="H11" s="34"/>
      <c r="I11" s="34"/>
      <c r="J11" s="32"/>
      <c r="K11" s="32"/>
      <c r="L11" s="107"/>
      <c r="M11" s="238"/>
      <c r="R11" s="270" t="s">
        <v>35</v>
      </c>
      <c r="S11" s="254"/>
      <c r="T11" s="254"/>
      <c r="U11" s="254"/>
      <c r="V11" s="255"/>
      <c r="W11" s="189">
        <f>(K10/B10-1)*100</f>
        <v>134.79467258601559</v>
      </c>
      <c r="AC11" s="238"/>
    </row>
    <row r="12" spans="1:29" ht="36" customHeight="1" x14ac:dyDescent="0.25">
      <c r="A12" s="28" t="s">
        <v>135</v>
      </c>
      <c r="B12" s="29">
        <v>127.8</v>
      </c>
      <c r="C12" s="29">
        <v>143.5</v>
      </c>
      <c r="D12" s="29">
        <v>114.1</v>
      </c>
      <c r="E12" s="29">
        <v>124</v>
      </c>
      <c r="F12" s="29">
        <v>113.1</v>
      </c>
      <c r="G12" s="29">
        <v>110.6</v>
      </c>
      <c r="H12" s="29">
        <v>122</v>
      </c>
      <c r="I12" s="29">
        <v>143.9</v>
      </c>
      <c r="J12" s="32">
        <v>171.1</v>
      </c>
      <c r="K12" s="32">
        <v>122.9</v>
      </c>
      <c r="L12" s="107"/>
      <c r="M12" s="238"/>
      <c r="R12" s="270" t="s">
        <v>36</v>
      </c>
      <c r="S12" s="254"/>
      <c r="T12" s="254"/>
      <c r="U12" s="254"/>
      <c r="V12" s="255"/>
      <c r="W12" s="189">
        <f>(K10/B10)^(1/9)*100</f>
        <v>109.94806286222838</v>
      </c>
      <c r="AC12" s="238"/>
    </row>
    <row r="13" spans="1:29" ht="30.75" customHeight="1" x14ac:dyDescent="0.25">
      <c r="A13" s="28" t="s">
        <v>136</v>
      </c>
      <c r="B13" s="29">
        <v>46.2</v>
      </c>
      <c r="C13" s="29">
        <v>54.3</v>
      </c>
      <c r="D13" s="29">
        <v>69.3</v>
      </c>
      <c r="E13" s="29">
        <v>88.2</v>
      </c>
      <c r="F13" s="29">
        <v>86.1</v>
      </c>
      <c r="G13" s="29">
        <v>113.2</v>
      </c>
      <c r="H13" s="29">
        <v>106</v>
      </c>
      <c r="I13" s="29">
        <v>127</v>
      </c>
      <c r="J13" s="32">
        <v>223.5</v>
      </c>
      <c r="K13" s="32">
        <v>291.2</v>
      </c>
      <c r="L13" s="107"/>
      <c r="M13" s="238"/>
      <c r="R13" s="270" t="s">
        <v>37</v>
      </c>
      <c r="S13" s="254"/>
      <c r="T13" s="254"/>
      <c r="U13" s="254"/>
      <c r="V13" s="255"/>
      <c r="W13" s="189">
        <f>W12-100</f>
        <v>9.9480628622283831</v>
      </c>
      <c r="AC13" s="238"/>
    </row>
    <row r="14" spans="1:29" ht="27.75" customHeight="1" x14ac:dyDescent="0.25">
      <c r="A14" s="28" t="s">
        <v>137</v>
      </c>
      <c r="B14" s="29">
        <v>6.2</v>
      </c>
      <c r="C14" s="29">
        <v>8.6</v>
      </c>
      <c r="D14" s="29">
        <v>10.7</v>
      </c>
      <c r="E14" s="29">
        <v>10.8</v>
      </c>
      <c r="F14" s="29">
        <v>6.9</v>
      </c>
      <c r="G14" s="29">
        <v>7.8</v>
      </c>
      <c r="H14" s="29">
        <v>8.1</v>
      </c>
      <c r="I14" s="29">
        <v>8.1999999999999993</v>
      </c>
      <c r="J14" s="32">
        <v>9.1999999999999993</v>
      </c>
      <c r="K14" s="32">
        <v>9</v>
      </c>
      <c r="L14" s="107"/>
      <c r="M14" s="238"/>
      <c r="AC14" s="238"/>
    </row>
    <row r="15" spans="1:29" ht="59.25" customHeight="1" x14ac:dyDescent="0.25">
      <c r="A15" s="28" t="s">
        <v>143</v>
      </c>
      <c r="B15" s="29">
        <v>6.3</v>
      </c>
      <c r="C15" s="29">
        <v>6.1</v>
      </c>
      <c r="D15" s="29">
        <v>3.7</v>
      </c>
      <c r="E15" s="29">
        <v>3.9</v>
      </c>
      <c r="F15" s="29">
        <v>4.8</v>
      </c>
      <c r="G15" s="29">
        <v>5.5</v>
      </c>
      <c r="H15" s="29">
        <v>5.0999999999999996</v>
      </c>
      <c r="I15" s="29">
        <v>5.5</v>
      </c>
      <c r="J15" s="32">
        <v>7.2</v>
      </c>
      <c r="K15" s="32">
        <v>8.6999999999999993</v>
      </c>
      <c r="L15" s="107"/>
      <c r="M15" s="238"/>
      <c r="AC15" s="238"/>
    </row>
    <row r="16" spans="1:29" x14ac:dyDescent="0.25">
      <c r="A16" s="107"/>
      <c r="B16" s="107"/>
      <c r="C16" s="107"/>
      <c r="D16" s="107"/>
      <c r="E16" s="107"/>
      <c r="F16" s="107"/>
      <c r="G16" s="107"/>
      <c r="H16" s="107"/>
      <c r="I16" s="107"/>
      <c r="J16" s="107"/>
      <c r="K16" s="107"/>
      <c r="L16" s="107"/>
      <c r="M16" s="238"/>
      <c r="AC16" s="238"/>
    </row>
    <row r="17" spans="1:29" ht="6" customHeight="1" x14ac:dyDescent="0.25">
      <c r="A17" s="247"/>
      <c r="B17" s="238"/>
      <c r="C17" s="238"/>
      <c r="D17" s="238"/>
      <c r="E17" s="238"/>
      <c r="F17" s="238"/>
      <c r="G17" s="238"/>
      <c r="H17" s="238"/>
      <c r="I17" s="238"/>
      <c r="J17" s="238"/>
      <c r="K17" s="238"/>
      <c r="L17" s="238"/>
      <c r="M17" s="238"/>
      <c r="AC17" s="238"/>
    </row>
    <row r="18" spans="1:29" ht="21" customHeight="1" x14ac:dyDescent="0.25">
      <c r="M18" s="238"/>
      <c r="AC18" s="238"/>
    </row>
    <row r="19" spans="1:29" ht="18" customHeight="1" x14ac:dyDescent="0.25">
      <c r="M19" s="238"/>
      <c r="AC19" s="238"/>
    </row>
    <row r="20" spans="1:29" ht="18" customHeight="1" x14ac:dyDescent="0.25">
      <c r="M20" s="238"/>
      <c r="AC20" s="238"/>
    </row>
    <row r="21" spans="1:29" ht="18" customHeight="1" x14ac:dyDescent="0.25">
      <c r="M21" s="238"/>
      <c r="AC21" s="238"/>
    </row>
    <row r="22" spans="1:29" x14ac:dyDescent="0.25">
      <c r="M22" s="238"/>
      <c r="AC22" s="238"/>
    </row>
    <row r="23" spans="1:29" ht="15.75" customHeight="1" x14ac:dyDescent="0.25">
      <c r="M23" s="238"/>
      <c r="AC23" s="238"/>
    </row>
    <row r="24" spans="1:29" ht="32.1" customHeight="1" x14ac:dyDescent="0.25">
      <c r="M24" s="238"/>
      <c r="AC24" s="238"/>
    </row>
    <row r="25" spans="1:29" ht="32.1" customHeight="1" x14ac:dyDescent="0.25">
      <c r="M25" s="238"/>
      <c r="AC25" s="238"/>
    </row>
    <row r="26" spans="1:29" ht="32.1" customHeight="1" x14ac:dyDescent="0.25">
      <c r="M26" s="238"/>
      <c r="AC26" s="238"/>
    </row>
    <row r="27" spans="1:29" ht="32.1" customHeight="1" x14ac:dyDescent="0.25">
      <c r="M27" s="238"/>
      <c r="AC27" s="238"/>
    </row>
    <row r="28" spans="1:29" x14ac:dyDescent="0.25">
      <c r="M28" s="238"/>
      <c r="AC28" s="238"/>
    </row>
    <row r="29" spans="1:29" x14ac:dyDescent="0.25">
      <c r="M29" s="238"/>
      <c r="AC29" s="238"/>
    </row>
    <row r="30" spans="1:29" x14ac:dyDescent="0.25">
      <c r="M30" s="238"/>
      <c r="AC30" s="238"/>
    </row>
    <row r="31" spans="1:29" x14ac:dyDescent="0.25">
      <c r="M31" s="238"/>
      <c r="AC31" s="238"/>
    </row>
    <row r="32" spans="1:29" x14ac:dyDescent="0.25">
      <c r="M32" s="238"/>
      <c r="AC32" s="238"/>
    </row>
    <row r="33" spans="13:29" x14ac:dyDescent="0.25">
      <c r="M33" s="238"/>
      <c r="AC33" s="238"/>
    </row>
    <row r="34" spans="13:29" x14ac:dyDescent="0.25">
      <c r="M34" s="238"/>
      <c r="AC34" s="238"/>
    </row>
    <row r="35" spans="13:29" x14ac:dyDescent="0.25">
      <c r="M35" s="238"/>
      <c r="AC35" s="238"/>
    </row>
    <row r="36" spans="13:29" x14ac:dyDescent="0.25">
      <c r="M36" s="238"/>
      <c r="AC36" s="238"/>
    </row>
    <row r="37" spans="13:29" x14ac:dyDescent="0.25">
      <c r="M37" s="238"/>
      <c r="AC37" s="238"/>
    </row>
    <row r="38" spans="13:29" x14ac:dyDescent="0.25">
      <c r="M38" s="238"/>
      <c r="AC38" s="238"/>
    </row>
    <row r="39" spans="13:29" x14ac:dyDescent="0.25">
      <c r="M39" s="238"/>
      <c r="AC39" s="238"/>
    </row>
    <row r="40" spans="13:29" x14ac:dyDescent="0.25">
      <c r="M40" s="238"/>
      <c r="AC40" s="238"/>
    </row>
    <row r="41" spans="13:29" x14ac:dyDescent="0.25">
      <c r="M41" s="238"/>
      <c r="AC41" s="238"/>
    </row>
    <row r="42" spans="13:29" x14ac:dyDescent="0.25">
      <c r="M42" s="238"/>
      <c r="AC42" s="238"/>
    </row>
    <row r="43" spans="13:29" x14ac:dyDescent="0.25">
      <c r="M43" s="238"/>
      <c r="AC43" s="238"/>
    </row>
    <row r="44" spans="13:29" x14ac:dyDescent="0.25">
      <c r="M44" s="238"/>
      <c r="AC44" s="238"/>
    </row>
    <row r="45" spans="13:29" x14ac:dyDescent="0.25">
      <c r="M45" s="238"/>
      <c r="AC45" s="238"/>
    </row>
    <row r="46" spans="13:29" x14ac:dyDescent="0.25">
      <c r="M46" s="238"/>
      <c r="AC46" s="238"/>
    </row>
    <row r="47" spans="13:29" x14ac:dyDescent="0.25">
      <c r="M47" s="238"/>
      <c r="AC47" s="238"/>
    </row>
    <row r="48" spans="13:29" x14ac:dyDescent="0.25">
      <c r="M48" s="238"/>
      <c r="AC48" s="238"/>
    </row>
    <row r="49" spans="13:29" x14ac:dyDescent="0.25">
      <c r="M49" s="238"/>
      <c r="AC49" s="238"/>
    </row>
    <row r="50" spans="13:29" x14ac:dyDescent="0.25">
      <c r="M50" s="238"/>
      <c r="AC50" s="238"/>
    </row>
    <row r="51" spans="13:29" x14ac:dyDescent="0.25">
      <c r="M51" s="238"/>
      <c r="AC51" s="238"/>
    </row>
    <row r="52" spans="13:29" x14ac:dyDescent="0.25">
      <c r="M52" s="238"/>
      <c r="AC52" s="238"/>
    </row>
    <row r="53" spans="13:29" x14ac:dyDescent="0.25">
      <c r="M53" s="238"/>
      <c r="AC53" s="238"/>
    </row>
    <row r="54" spans="13:29" x14ac:dyDescent="0.25">
      <c r="M54" s="238"/>
      <c r="AC54" s="238"/>
    </row>
    <row r="55" spans="13:29" x14ac:dyDescent="0.25">
      <c r="M55" s="238"/>
      <c r="AC55" s="238"/>
    </row>
    <row r="56" spans="13:29" x14ac:dyDescent="0.25">
      <c r="M56" s="238"/>
      <c r="AC56" s="238"/>
    </row>
    <row r="57" spans="13:29" ht="6" customHeight="1" x14ac:dyDescent="0.25">
      <c r="M57" s="238"/>
      <c r="N57" s="237"/>
      <c r="O57" s="238"/>
      <c r="P57" s="238"/>
      <c r="Q57" s="238"/>
      <c r="R57" s="238"/>
      <c r="S57" s="238"/>
      <c r="T57" s="238"/>
      <c r="U57" s="238"/>
      <c r="V57" s="238"/>
      <c r="W57" s="238"/>
      <c r="X57" s="238"/>
      <c r="Y57" s="238"/>
      <c r="Z57" s="238"/>
      <c r="AA57" s="238"/>
      <c r="AB57" s="238"/>
      <c r="AC57" s="238"/>
    </row>
  </sheetData>
  <mergeCells count="13">
    <mergeCell ref="AC1:AC57"/>
    <mergeCell ref="R12:V12"/>
    <mergeCell ref="Q9:Y9"/>
    <mergeCell ref="R11:V11"/>
    <mergeCell ref="N57:AB57"/>
    <mergeCell ref="O4:AA7"/>
    <mergeCell ref="A6:L6"/>
    <mergeCell ref="O3:AA3"/>
    <mergeCell ref="A17:L17"/>
    <mergeCell ref="R10:V10"/>
    <mergeCell ref="R13:V13"/>
    <mergeCell ref="M1:M57"/>
    <mergeCell ref="A8:K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40"/>
  <sheetViews>
    <sheetView showGridLines="0" workbookViewId="0">
      <selection sqref="A1:I1"/>
    </sheetView>
  </sheetViews>
  <sheetFormatPr defaultRowHeight="15" x14ac:dyDescent="0.25"/>
  <cols>
    <col min="1" max="1" width="58" customWidth="1"/>
    <col min="2" max="9" width="11" customWidth="1"/>
    <col min="10" max="10" width="5.7109375" style="208" customWidth="1"/>
    <col min="11" max="11" width="1.7109375" customWidth="1"/>
    <col min="12" max="13" width="11" customWidth="1"/>
    <col min="27" max="27" width="1.7109375" customWidth="1"/>
  </cols>
  <sheetData>
    <row r="1" spans="1:27" ht="40.5" customHeight="1" x14ac:dyDescent="0.25">
      <c r="A1" s="294" t="s">
        <v>144</v>
      </c>
      <c r="B1" s="238"/>
      <c r="C1" s="238"/>
      <c r="D1" s="238"/>
      <c r="E1" s="238"/>
      <c r="F1" s="238"/>
      <c r="G1" s="238"/>
      <c r="H1" s="238"/>
      <c r="I1" s="238"/>
      <c r="J1" s="206"/>
      <c r="K1" s="295"/>
      <c r="AA1" s="237"/>
    </row>
    <row r="2" spans="1:27" ht="30" customHeight="1" x14ac:dyDescent="0.25">
      <c r="B2" s="173" t="s">
        <v>55</v>
      </c>
      <c r="C2" s="173" t="s">
        <v>56</v>
      </c>
      <c r="D2" s="173" t="s">
        <v>57</v>
      </c>
      <c r="E2" s="173" t="s">
        <v>58</v>
      </c>
      <c r="F2" s="173" t="s">
        <v>59</v>
      </c>
      <c r="G2" s="173" t="s">
        <v>60</v>
      </c>
      <c r="H2" s="173" t="s">
        <v>61</v>
      </c>
      <c r="I2" s="173" t="s">
        <v>62</v>
      </c>
      <c r="K2" s="238"/>
      <c r="AA2" s="238"/>
    </row>
    <row r="3" spans="1:27" x14ac:dyDescent="0.25">
      <c r="A3" s="174" t="s">
        <v>145</v>
      </c>
      <c r="B3" s="177">
        <v>98.8</v>
      </c>
      <c r="C3" s="177">
        <v>99</v>
      </c>
      <c r="D3" s="177">
        <v>98.4</v>
      </c>
      <c r="E3" s="177">
        <v>99.2</v>
      </c>
      <c r="F3" s="177">
        <v>99.5</v>
      </c>
      <c r="G3" s="177">
        <v>98.7</v>
      </c>
      <c r="H3" s="177">
        <v>98.6</v>
      </c>
      <c r="I3" s="177">
        <v>98.6</v>
      </c>
      <c r="J3" s="207"/>
      <c r="K3" s="238"/>
      <c r="L3" s="257"/>
      <c r="M3" s="238"/>
      <c r="N3" s="238"/>
      <c r="O3" s="238"/>
      <c r="P3" s="238"/>
      <c r="Q3" s="238"/>
      <c r="R3" s="238"/>
      <c r="S3" s="238"/>
      <c r="T3" s="238"/>
      <c r="U3" s="238"/>
      <c r="V3" s="238"/>
      <c r="W3" s="238"/>
      <c r="X3" s="238"/>
      <c r="Y3" s="238"/>
      <c r="Z3" s="238"/>
      <c r="AA3" s="238"/>
    </row>
    <row r="4" spans="1:27" x14ac:dyDescent="0.25">
      <c r="A4" s="174" t="s">
        <v>146</v>
      </c>
      <c r="B4" s="177">
        <v>98.8</v>
      </c>
      <c r="C4" s="177">
        <v>99.3</v>
      </c>
      <c r="D4" s="177">
        <v>99.3</v>
      </c>
      <c r="E4" s="177">
        <v>98.7</v>
      </c>
      <c r="F4" s="177">
        <v>99.4</v>
      </c>
      <c r="G4" s="177">
        <v>98.4</v>
      </c>
      <c r="H4" s="177">
        <v>99.4</v>
      </c>
      <c r="I4" s="177">
        <v>99.1</v>
      </c>
      <c r="J4" s="207"/>
      <c r="K4" s="238"/>
      <c r="AA4" s="238"/>
    </row>
    <row r="5" spans="1:27" x14ac:dyDescent="0.25">
      <c r="A5" s="174" t="s">
        <v>147</v>
      </c>
      <c r="B5" s="177">
        <v>69.599999999999994</v>
      </c>
      <c r="C5" s="177">
        <v>65.3</v>
      </c>
      <c r="D5" s="177">
        <v>60.6</v>
      </c>
      <c r="E5" s="177">
        <v>58.8</v>
      </c>
      <c r="F5" s="177">
        <v>72.3</v>
      </c>
      <c r="G5" s="177">
        <v>75.7</v>
      </c>
      <c r="H5" s="177">
        <v>67.5</v>
      </c>
      <c r="I5" s="177">
        <v>60.3</v>
      </c>
      <c r="J5" s="207"/>
      <c r="K5" s="238"/>
      <c r="AA5" s="238"/>
    </row>
    <row r="6" spans="1:27" ht="21" customHeight="1" x14ac:dyDescent="0.25">
      <c r="A6" s="174" t="s">
        <v>148</v>
      </c>
      <c r="B6" s="177">
        <v>52.8</v>
      </c>
      <c r="C6" s="177">
        <v>52</v>
      </c>
      <c r="D6" s="177">
        <v>48</v>
      </c>
      <c r="E6" s="177">
        <v>45.1</v>
      </c>
      <c r="F6" s="177">
        <v>57.9</v>
      </c>
      <c r="G6" s="177">
        <v>55.6</v>
      </c>
      <c r="H6" s="177">
        <v>52.8</v>
      </c>
      <c r="I6" s="177">
        <v>45.7</v>
      </c>
      <c r="J6" s="207"/>
      <c r="K6" s="238"/>
      <c r="M6" s="281" t="s">
        <v>24</v>
      </c>
      <c r="N6" s="238"/>
      <c r="O6" s="238"/>
      <c r="P6" s="238"/>
      <c r="Q6" s="238"/>
      <c r="R6" s="238"/>
      <c r="S6" s="238"/>
      <c r="T6" s="238"/>
      <c r="U6" s="238"/>
      <c r="V6" s="238"/>
      <c r="W6" s="238"/>
      <c r="X6" s="238"/>
      <c r="Y6" s="238"/>
      <c r="AA6" s="238"/>
    </row>
    <row r="7" spans="1:27" ht="15" customHeight="1" x14ac:dyDescent="0.25">
      <c r="A7" s="174" t="s">
        <v>149</v>
      </c>
      <c r="B7" s="177">
        <v>55.4</v>
      </c>
      <c r="C7" s="177">
        <v>57</v>
      </c>
      <c r="D7" s="177">
        <v>49.9</v>
      </c>
      <c r="E7" s="177">
        <v>47.7</v>
      </c>
      <c r="F7" s="177">
        <v>59.6</v>
      </c>
      <c r="G7" s="177">
        <v>56.6</v>
      </c>
      <c r="H7" s="177">
        <v>59</v>
      </c>
      <c r="I7" s="177">
        <v>50.2</v>
      </c>
      <c r="J7" s="207"/>
      <c r="K7" s="238"/>
      <c r="M7" s="274" t="s">
        <v>150</v>
      </c>
      <c r="N7" s="238"/>
      <c r="O7" s="238"/>
      <c r="P7" s="238"/>
      <c r="Q7" s="238"/>
      <c r="R7" s="238"/>
      <c r="S7" s="238"/>
      <c r="T7" s="238"/>
      <c r="U7" s="238"/>
      <c r="V7" s="238"/>
      <c r="W7" s="238"/>
      <c r="X7" s="238"/>
      <c r="Y7" s="238"/>
      <c r="AA7" s="238"/>
    </row>
    <row r="8" spans="1:27" ht="15" customHeight="1" x14ac:dyDescent="0.25">
      <c r="A8" s="174" t="s">
        <v>151</v>
      </c>
      <c r="B8" s="177">
        <v>57.5</v>
      </c>
      <c r="C8" s="177">
        <v>62.2</v>
      </c>
      <c r="D8" s="177">
        <v>58.5</v>
      </c>
      <c r="E8" s="177">
        <v>58.8</v>
      </c>
      <c r="F8" s="177">
        <v>65.3</v>
      </c>
      <c r="G8" s="177">
        <v>53.3</v>
      </c>
      <c r="H8" s="177">
        <v>60.8</v>
      </c>
      <c r="I8" s="177">
        <v>61.2</v>
      </c>
      <c r="J8" s="207"/>
      <c r="K8" s="238"/>
      <c r="M8" s="238"/>
      <c r="N8" s="238"/>
      <c r="O8" s="238"/>
      <c r="P8" s="238"/>
      <c r="Q8" s="238"/>
      <c r="R8" s="238"/>
      <c r="S8" s="238"/>
      <c r="T8" s="238"/>
      <c r="U8" s="238"/>
      <c r="V8" s="238"/>
      <c r="W8" s="238"/>
      <c r="X8" s="238"/>
      <c r="Y8" s="238"/>
      <c r="AA8" s="238"/>
    </row>
    <row r="9" spans="1:27" ht="15" customHeight="1" x14ac:dyDescent="0.25">
      <c r="A9" s="174" t="s">
        <v>152</v>
      </c>
      <c r="B9" s="177">
        <v>96.5</v>
      </c>
      <c r="C9" s="177">
        <v>97.6</v>
      </c>
      <c r="D9" s="177">
        <v>98.4</v>
      </c>
      <c r="E9" s="177">
        <v>97.2</v>
      </c>
      <c r="F9" s="177">
        <v>98.1</v>
      </c>
      <c r="G9" s="177">
        <v>95.1</v>
      </c>
      <c r="H9" s="177">
        <v>98.3</v>
      </c>
      <c r="I9" s="177">
        <v>96.7</v>
      </c>
      <c r="J9" s="207"/>
      <c r="K9" s="238"/>
      <c r="M9" s="238"/>
      <c r="N9" s="238"/>
      <c r="O9" s="238"/>
      <c r="P9" s="238"/>
      <c r="Q9" s="238"/>
      <c r="R9" s="238"/>
      <c r="S9" s="238"/>
      <c r="T9" s="238"/>
      <c r="U9" s="238"/>
      <c r="V9" s="238"/>
      <c r="W9" s="238"/>
      <c r="X9" s="238"/>
      <c r="Y9" s="238"/>
      <c r="AA9" s="238"/>
    </row>
    <row r="10" spans="1:27" ht="15" customHeight="1" x14ac:dyDescent="0.25">
      <c r="A10" s="174" t="s">
        <v>153</v>
      </c>
      <c r="B10" s="177">
        <v>77</v>
      </c>
      <c r="C10" s="177">
        <v>76.599999999999994</v>
      </c>
      <c r="D10" s="177">
        <v>75</v>
      </c>
      <c r="E10" s="177">
        <v>71.7</v>
      </c>
      <c r="F10" s="177">
        <v>79.099999999999994</v>
      </c>
      <c r="G10" s="177">
        <v>78.5</v>
      </c>
      <c r="H10" s="177">
        <v>76.2</v>
      </c>
      <c r="I10" s="177">
        <v>76</v>
      </c>
      <c r="J10" s="207"/>
      <c r="K10" s="238"/>
      <c r="M10" s="238"/>
      <c r="N10" s="238"/>
      <c r="O10" s="238"/>
      <c r="P10" s="238"/>
      <c r="Q10" s="238"/>
      <c r="R10" s="238"/>
      <c r="S10" s="238"/>
      <c r="T10" s="238"/>
      <c r="U10" s="238"/>
      <c r="V10" s="238"/>
      <c r="W10" s="238"/>
      <c r="X10" s="238"/>
      <c r="Y10" s="238"/>
      <c r="AA10" s="238"/>
    </row>
    <row r="11" spans="1:27" x14ac:dyDescent="0.25">
      <c r="A11" s="174" t="s">
        <v>154</v>
      </c>
      <c r="B11" s="177">
        <v>61.7</v>
      </c>
      <c r="C11" s="177">
        <v>57.7</v>
      </c>
      <c r="D11" s="177">
        <v>51.3</v>
      </c>
      <c r="E11" s="177">
        <v>52.9</v>
      </c>
      <c r="F11" s="177">
        <v>62.1</v>
      </c>
      <c r="G11" s="177">
        <v>69.2</v>
      </c>
      <c r="H11" s="177">
        <v>56.8</v>
      </c>
      <c r="I11" s="177">
        <v>49.3</v>
      </c>
      <c r="J11" s="207"/>
      <c r="K11" s="238"/>
      <c r="M11" s="238"/>
      <c r="N11" s="238"/>
      <c r="O11" s="238"/>
      <c r="P11" s="238"/>
      <c r="Q11" s="238"/>
      <c r="R11" s="238"/>
      <c r="S11" s="238"/>
      <c r="T11" s="238"/>
      <c r="U11" s="238"/>
      <c r="V11" s="238"/>
      <c r="W11" s="238"/>
      <c r="X11" s="238"/>
      <c r="Y11" s="238"/>
      <c r="AA11" s="238"/>
    </row>
    <row r="12" spans="1:27" x14ac:dyDescent="0.25">
      <c r="A12" s="174" t="s">
        <v>155</v>
      </c>
      <c r="B12" s="177">
        <v>40.4</v>
      </c>
      <c r="C12" s="177">
        <v>40.299999999999997</v>
      </c>
      <c r="D12" s="177">
        <v>35.4</v>
      </c>
      <c r="E12" s="177">
        <v>40</v>
      </c>
      <c r="F12" s="177">
        <v>44.8</v>
      </c>
      <c r="G12" s="177">
        <v>40.6</v>
      </c>
      <c r="H12" s="177">
        <v>40.799999999999997</v>
      </c>
      <c r="I12" s="177">
        <v>40.299999999999997</v>
      </c>
      <c r="J12" s="207"/>
      <c r="K12" s="238"/>
      <c r="AA12" s="238"/>
    </row>
    <row r="13" spans="1:27" x14ac:dyDescent="0.25">
      <c r="A13" s="174" t="s">
        <v>156</v>
      </c>
      <c r="B13" s="177">
        <v>48.4</v>
      </c>
      <c r="C13" s="177">
        <v>39.4</v>
      </c>
      <c r="D13" s="177">
        <v>32.700000000000003</v>
      </c>
      <c r="E13" s="177">
        <v>38.799999999999997</v>
      </c>
      <c r="F13" s="177">
        <v>49.2</v>
      </c>
      <c r="G13" s="177">
        <v>58</v>
      </c>
      <c r="H13" s="177">
        <v>43.2</v>
      </c>
      <c r="I13" s="177">
        <v>36</v>
      </c>
      <c r="J13" s="207"/>
      <c r="K13" s="238"/>
      <c r="AA13" s="238"/>
    </row>
    <row r="14" spans="1:27" x14ac:dyDescent="0.25">
      <c r="A14" s="174" t="s">
        <v>157</v>
      </c>
      <c r="B14" s="177">
        <v>89.5</v>
      </c>
      <c r="C14" s="177">
        <v>90.5</v>
      </c>
      <c r="D14" s="177">
        <v>87.9</v>
      </c>
      <c r="E14" s="177">
        <v>87.7</v>
      </c>
      <c r="F14" s="177">
        <v>92.3</v>
      </c>
      <c r="G14" s="177">
        <v>89.5</v>
      </c>
      <c r="H14" s="177">
        <v>90.4</v>
      </c>
      <c r="I14" s="177">
        <v>87.8</v>
      </c>
      <c r="J14" s="207"/>
      <c r="K14" s="238"/>
      <c r="AA14" s="238"/>
    </row>
    <row r="15" spans="1:27" x14ac:dyDescent="0.25">
      <c r="A15" s="174" t="s">
        <v>158</v>
      </c>
      <c r="B15" s="177">
        <v>71.099999999999994</v>
      </c>
      <c r="C15" s="177">
        <v>74.900000000000006</v>
      </c>
      <c r="D15" s="177">
        <v>71.7</v>
      </c>
      <c r="E15" s="177">
        <v>71.7</v>
      </c>
      <c r="F15" s="177">
        <v>77.7</v>
      </c>
      <c r="G15" s="177">
        <v>68.5</v>
      </c>
      <c r="H15" s="177">
        <v>73.599999999999994</v>
      </c>
      <c r="I15" s="177">
        <v>69.8</v>
      </c>
      <c r="J15" s="207"/>
      <c r="K15" s="238"/>
      <c r="AA15" s="238"/>
    </row>
    <row r="16" spans="1:27" x14ac:dyDescent="0.25">
      <c r="A16" s="174" t="s">
        <v>159</v>
      </c>
      <c r="B16" s="177">
        <v>60.7</v>
      </c>
      <c r="C16" s="177">
        <v>64.599999999999994</v>
      </c>
      <c r="D16" s="177">
        <v>57.6</v>
      </c>
      <c r="E16" s="177">
        <v>58.2</v>
      </c>
      <c r="F16" s="177">
        <v>68.099999999999994</v>
      </c>
      <c r="G16" s="177">
        <v>59.2</v>
      </c>
      <c r="H16" s="177">
        <v>62.4</v>
      </c>
      <c r="I16" s="177">
        <v>61</v>
      </c>
      <c r="J16" s="207"/>
      <c r="K16" s="238"/>
      <c r="AA16" s="238"/>
    </row>
    <row r="17" spans="1:27" x14ac:dyDescent="0.25">
      <c r="A17" s="174" t="s">
        <v>160</v>
      </c>
      <c r="B17" s="177">
        <v>58.5</v>
      </c>
      <c r="C17" s="177">
        <v>57.2</v>
      </c>
      <c r="D17" s="177">
        <v>48.1</v>
      </c>
      <c r="E17" s="177">
        <v>58</v>
      </c>
      <c r="F17" s="177">
        <v>56.4</v>
      </c>
      <c r="G17" s="177">
        <v>61.7</v>
      </c>
      <c r="H17" s="177">
        <v>57.1</v>
      </c>
      <c r="I17" s="177">
        <v>55.5</v>
      </c>
      <c r="J17" s="207"/>
      <c r="K17" s="238"/>
      <c r="AA17" s="238"/>
    </row>
    <row r="18" spans="1:27" x14ac:dyDescent="0.25">
      <c r="A18" s="174" t="s">
        <v>161</v>
      </c>
      <c r="B18" s="177">
        <v>52.1</v>
      </c>
      <c r="C18" s="177">
        <v>50.5</v>
      </c>
      <c r="D18" s="177">
        <v>50.1</v>
      </c>
      <c r="E18" s="177">
        <v>48</v>
      </c>
      <c r="F18" s="177">
        <v>57.7</v>
      </c>
      <c r="G18" s="177">
        <v>54.2</v>
      </c>
      <c r="H18" s="177">
        <v>49.8</v>
      </c>
      <c r="I18" s="177">
        <v>46.6</v>
      </c>
      <c r="J18" s="207"/>
      <c r="K18" s="238"/>
      <c r="AA18" s="238"/>
    </row>
    <row r="19" spans="1:27" x14ac:dyDescent="0.25">
      <c r="A19" s="174" t="s">
        <v>162</v>
      </c>
      <c r="B19" s="177">
        <v>79.7</v>
      </c>
      <c r="C19" s="177">
        <v>77.3</v>
      </c>
      <c r="D19" s="177">
        <v>78.099999999999994</v>
      </c>
      <c r="E19" s="177">
        <v>74.7</v>
      </c>
      <c r="F19" s="177">
        <v>82.9</v>
      </c>
      <c r="G19" s="177">
        <v>82</v>
      </c>
      <c r="H19" s="177">
        <v>78.2</v>
      </c>
      <c r="I19" s="177">
        <v>74.7</v>
      </c>
      <c r="J19" s="207"/>
      <c r="K19" s="238"/>
      <c r="AA19" s="238"/>
    </row>
    <row r="20" spans="1:27" x14ac:dyDescent="0.25">
      <c r="A20" s="174" t="s">
        <v>163</v>
      </c>
      <c r="B20" s="177">
        <v>44.9</v>
      </c>
      <c r="C20" s="177">
        <v>41.8</v>
      </c>
      <c r="D20" s="177">
        <v>39.299999999999997</v>
      </c>
      <c r="E20" s="177">
        <v>37.6</v>
      </c>
      <c r="F20" s="177">
        <v>45.1</v>
      </c>
      <c r="G20" s="177">
        <v>49.7</v>
      </c>
      <c r="H20" s="177">
        <v>43.7</v>
      </c>
      <c r="I20" s="177">
        <v>34.700000000000003</v>
      </c>
      <c r="J20" s="207"/>
      <c r="K20" s="238"/>
      <c r="AA20" s="238"/>
    </row>
    <row r="21" spans="1:27" x14ac:dyDescent="0.25">
      <c r="A21" s="174" t="s">
        <v>164</v>
      </c>
      <c r="B21" s="177">
        <v>38.700000000000003</v>
      </c>
      <c r="C21" s="177">
        <v>41</v>
      </c>
      <c r="D21" s="177">
        <v>36</v>
      </c>
      <c r="E21" s="177">
        <v>35.700000000000003</v>
      </c>
      <c r="F21" s="177">
        <v>42.5</v>
      </c>
      <c r="G21" s="177">
        <v>39.5</v>
      </c>
      <c r="H21" s="177">
        <v>38</v>
      </c>
      <c r="I21" s="177">
        <v>34.700000000000003</v>
      </c>
      <c r="J21" s="207"/>
      <c r="K21" s="238"/>
      <c r="AA21" s="238"/>
    </row>
    <row r="22" spans="1:27" x14ac:dyDescent="0.25">
      <c r="A22" s="174" t="s">
        <v>165</v>
      </c>
      <c r="B22" s="177">
        <v>18.8</v>
      </c>
      <c r="C22" s="177">
        <v>10.1</v>
      </c>
      <c r="D22" s="177">
        <v>12.9</v>
      </c>
      <c r="E22" s="177">
        <v>11.6</v>
      </c>
      <c r="F22" s="177">
        <v>15.6</v>
      </c>
      <c r="G22" s="177">
        <v>26.6</v>
      </c>
      <c r="H22" s="177">
        <v>12.6</v>
      </c>
      <c r="I22" s="177">
        <v>10</v>
      </c>
      <c r="J22" s="207"/>
      <c r="K22" s="238"/>
      <c r="AA22" s="238"/>
    </row>
    <row r="23" spans="1:27" x14ac:dyDescent="0.25">
      <c r="A23" s="174" t="s">
        <v>166</v>
      </c>
      <c r="B23" s="177">
        <v>26.7</v>
      </c>
      <c r="C23" s="177">
        <v>17.3</v>
      </c>
      <c r="D23" s="177">
        <v>16</v>
      </c>
      <c r="E23" s="177">
        <v>16.7</v>
      </c>
      <c r="F23" s="177">
        <v>21.9</v>
      </c>
      <c r="G23" s="177">
        <v>37.299999999999997</v>
      </c>
      <c r="H23" s="177">
        <v>18.5</v>
      </c>
      <c r="I23" s="177">
        <v>14.1</v>
      </c>
      <c r="J23" s="207"/>
      <c r="K23" s="238"/>
      <c r="AA23" s="238"/>
    </row>
    <row r="24" spans="1:27" x14ac:dyDescent="0.25">
      <c r="A24" s="174" t="s">
        <v>167</v>
      </c>
      <c r="B24" s="177">
        <v>88.9</v>
      </c>
      <c r="C24" s="177">
        <v>88.1</v>
      </c>
      <c r="D24" s="177">
        <v>86.4</v>
      </c>
      <c r="E24" s="177">
        <v>86.3</v>
      </c>
      <c r="F24" s="177">
        <v>91.4</v>
      </c>
      <c r="G24" s="177">
        <v>90.7</v>
      </c>
      <c r="H24" s="177">
        <v>86.1</v>
      </c>
      <c r="I24" s="177">
        <v>86.9</v>
      </c>
      <c r="J24" s="207"/>
      <c r="K24" s="238"/>
      <c r="AA24" s="238"/>
    </row>
    <row r="25" spans="1:27" x14ac:dyDescent="0.25">
      <c r="A25" s="174" t="s">
        <v>168</v>
      </c>
      <c r="B25" s="177">
        <v>96</v>
      </c>
      <c r="C25" s="177">
        <v>97.9</v>
      </c>
      <c r="D25" s="177">
        <v>96.6</v>
      </c>
      <c r="E25" s="177">
        <v>96.4</v>
      </c>
      <c r="F25" s="177">
        <v>97.2</v>
      </c>
      <c r="G25" s="177">
        <v>95.2</v>
      </c>
      <c r="H25" s="177">
        <v>95.8</v>
      </c>
      <c r="I25" s="177">
        <v>97.4</v>
      </c>
      <c r="J25" s="207"/>
      <c r="K25" s="238"/>
      <c r="AA25" s="238"/>
    </row>
    <row r="26" spans="1:27" x14ac:dyDescent="0.25">
      <c r="A26" s="174" t="s">
        <v>169</v>
      </c>
      <c r="B26" s="177">
        <v>77.5</v>
      </c>
      <c r="C26" s="177">
        <v>76.599999999999994</v>
      </c>
      <c r="D26" s="177">
        <v>73.8</v>
      </c>
      <c r="E26" s="177">
        <v>76.5</v>
      </c>
      <c r="F26" s="177">
        <v>78.5</v>
      </c>
      <c r="G26" s="177">
        <v>78.5</v>
      </c>
      <c r="H26" s="177">
        <v>78.400000000000006</v>
      </c>
      <c r="I26" s="177">
        <v>75.3</v>
      </c>
      <c r="J26" s="207"/>
      <c r="K26" s="238"/>
      <c r="AA26" s="238"/>
    </row>
    <row r="27" spans="1:27" x14ac:dyDescent="0.25">
      <c r="A27" s="174" t="s">
        <v>170</v>
      </c>
      <c r="B27" s="177">
        <v>50.7</v>
      </c>
      <c r="C27" s="177">
        <v>67</v>
      </c>
      <c r="D27" s="177">
        <v>56.4</v>
      </c>
      <c r="E27" s="177">
        <v>62.9</v>
      </c>
      <c r="F27" s="177">
        <v>66.8</v>
      </c>
      <c r="G27" s="177">
        <v>35.5</v>
      </c>
      <c r="H27" s="177">
        <v>60.4</v>
      </c>
      <c r="I27" s="177">
        <v>71.7</v>
      </c>
      <c r="J27" s="207"/>
      <c r="K27" s="238"/>
      <c r="AA27" s="238"/>
    </row>
    <row r="28" spans="1:27" x14ac:dyDescent="0.25">
      <c r="K28" s="238"/>
      <c r="AA28" s="238"/>
    </row>
    <row r="29" spans="1:27" ht="6" customHeight="1" x14ac:dyDescent="0.25">
      <c r="A29" s="247"/>
      <c r="B29" s="238"/>
      <c r="C29" s="238"/>
      <c r="D29" s="238"/>
      <c r="E29" s="238"/>
      <c r="F29" s="238"/>
      <c r="G29" s="238"/>
      <c r="H29" s="238"/>
      <c r="I29" s="238"/>
      <c r="J29" s="205"/>
      <c r="K29" s="238"/>
      <c r="AA29" s="238"/>
    </row>
    <row r="30" spans="1:27" ht="21" customHeight="1" x14ac:dyDescent="0.25">
      <c r="K30" s="238"/>
      <c r="AA30" s="238"/>
    </row>
    <row r="31" spans="1:27" ht="18" customHeight="1" x14ac:dyDescent="0.25">
      <c r="K31" s="238"/>
      <c r="AA31" s="238"/>
    </row>
    <row r="32" spans="1:27" ht="18" customHeight="1" x14ac:dyDescent="0.25">
      <c r="K32" s="238"/>
      <c r="AA32" s="238"/>
    </row>
    <row r="33" spans="1:27" ht="18" customHeight="1" x14ac:dyDescent="0.25">
      <c r="K33" s="238"/>
      <c r="AA33" s="238"/>
    </row>
    <row r="34" spans="1:27" x14ac:dyDescent="0.25">
      <c r="K34" s="238"/>
      <c r="AA34" s="238"/>
    </row>
    <row r="35" spans="1:27" x14ac:dyDescent="0.25">
      <c r="A35" s="201"/>
      <c r="B35" s="201"/>
      <c r="C35" s="201"/>
      <c r="D35" s="201"/>
      <c r="E35" s="201"/>
      <c r="F35" s="201"/>
      <c r="G35" s="201"/>
      <c r="H35" s="201"/>
      <c r="I35" s="201"/>
      <c r="J35" s="201"/>
      <c r="K35" s="238"/>
      <c r="AA35" s="238"/>
    </row>
    <row r="36" spans="1:27" x14ac:dyDescent="0.25">
      <c r="A36" s="201"/>
      <c r="B36" s="202"/>
      <c r="C36" s="202"/>
      <c r="D36" s="202"/>
      <c r="E36" s="201"/>
      <c r="F36" s="201"/>
      <c r="G36" s="201"/>
      <c r="H36" s="201"/>
      <c r="I36" s="201"/>
      <c r="J36" s="201"/>
      <c r="K36" s="238"/>
      <c r="AA36" s="238"/>
    </row>
    <row r="37" spans="1:27" x14ac:dyDescent="0.25">
      <c r="A37" s="203"/>
      <c r="B37" s="204"/>
      <c r="C37" s="204"/>
      <c r="D37" s="204"/>
      <c r="E37" s="201"/>
      <c r="F37" s="201"/>
      <c r="G37" s="201"/>
      <c r="H37" s="201"/>
      <c r="I37" s="201"/>
      <c r="J37" s="201"/>
      <c r="K37" s="238"/>
      <c r="AA37" s="238"/>
    </row>
    <row r="38" spans="1:27" x14ac:dyDescent="0.25">
      <c r="A38" s="203"/>
      <c r="B38" s="204"/>
      <c r="C38" s="204"/>
      <c r="D38" s="204"/>
      <c r="E38" s="201"/>
      <c r="F38" s="201"/>
      <c r="G38" s="201"/>
      <c r="H38" s="201"/>
      <c r="I38" s="201"/>
      <c r="J38" s="201"/>
      <c r="K38" s="238"/>
      <c r="AA38" s="238"/>
    </row>
    <row r="39" spans="1:27" x14ac:dyDescent="0.25">
      <c r="A39" s="203"/>
      <c r="B39" s="204"/>
      <c r="C39" s="204"/>
      <c r="D39" s="204"/>
      <c r="E39" s="201"/>
      <c r="F39" s="201"/>
      <c r="G39" s="201"/>
      <c r="H39" s="201"/>
      <c r="I39" s="201"/>
      <c r="J39" s="201"/>
      <c r="K39" s="238"/>
      <c r="AA39" s="238"/>
    </row>
    <row r="40" spans="1:27" ht="6" customHeight="1" x14ac:dyDescent="0.25">
      <c r="K40" s="238"/>
      <c r="L40" s="237"/>
      <c r="M40" s="238"/>
      <c r="N40" s="238"/>
      <c r="O40" s="238"/>
      <c r="P40" s="238"/>
      <c r="Q40" s="238"/>
      <c r="R40" s="238"/>
      <c r="S40" s="238"/>
      <c r="T40" s="238"/>
      <c r="U40" s="238"/>
      <c r="V40" s="238"/>
      <c r="W40" s="238"/>
      <c r="X40" s="238"/>
      <c r="Y40" s="238"/>
      <c r="Z40" s="238"/>
      <c r="AA40" s="238"/>
    </row>
  </sheetData>
  <mergeCells count="8">
    <mergeCell ref="AA1:AA40"/>
    <mergeCell ref="L40:Z40"/>
    <mergeCell ref="A29:I29"/>
    <mergeCell ref="L3:Z3"/>
    <mergeCell ref="M7:Y11"/>
    <mergeCell ref="A1:I1"/>
    <mergeCell ref="K1:K40"/>
    <mergeCell ref="M6:Y6"/>
  </mergeCells>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N23"/>
  <sheetViews>
    <sheetView showGridLines="0" topLeftCell="H1" zoomScale="85" zoomScaleNormal="85" workbookViewId="0"/>
  </sheetViews>
  <sheetFormatPr defaultRowHeight="15" x14ac:dyDescent="0.25"/>
  <cols>
    <col min="1" max="1" width="36" customWidth="1"/>
    <col min="14" max="14" width="30.140625" customWidth="1"/>
    <col min="25" max="25" width="9.140625" style="208" customWidth="1"/>
    <col min="26" max="26" width="1.7109375" customWidth="1"/>
    <col min="40" max="40" width="1.7109375" customWidth="1"/>
  </cols>
  <sheetData>
    <row r="1" spans="1:40" s="208" customFormat="1" x14ac:dyDescent="0.25">
      <c r="Z1" s="257"/>
      <c r="AN1" s="257"/>
    </row>
    <row r="2" spans="1:40" s="208" customFormat="1" x14ac:dyDescent="0.25">
      <c r="Z2" s="296"/>
      <c r="AN2" s="296"/>
    </row>
    <row r="3" spans="1:40" s="208" customFormat="1" x14ac:dyDescent="0.25">
      <c r="Z3" s="296"/>
      <c r="AN3" s="296"/>
    </row>
    <row r="4" spans="1:40" s="208" customFormat="1" x14ac:dyDescent="0.25">
      <c r="A4" s="257"/>
      <c r="B4" s="296"/>
      <c r="C4" s="296"/>
      <c r="D4" s="296"/>
      <c r="E4" s="296"/>
      <c r="F4" s="296"/>
      <c r="G4" s="296"/>
      <c r="H4" s="296"/>
      <c r="I4" s="296"/>
      <c r="J4" s="296"/>
      <c r="K4" s="296"/>
      <c r="L4" s="296"/>
      <c r="M4" s="296"/>
      <c r="N4" s="296"/>
      <c r="O4" s="296"/>
      <c r="P4" s="296"/>
      <c r="Q4" s="296"/>
      <c r="R4" s="296"/>
      <c r="S4" s="296"/>
      <c r="T4" s="296"/>
      <c r="U4" s="296"/>
      <c r="V4" s="296"/>
      <c r="W4" s="296"/>
      <c r="X4" s="296"/>
      <c r="Y4" s="296"/>
      <c r="Z4" s="296"/>
      <c r="AN4" s="296"/>
    </row>
    <row r="5" spans="1:40" s="208" customFormat="1" ht="15.75" customHeight="1" thickBot="1" x14ac:dyDescent="0.3">
      <c r="Z5" s="296"/>
      <c r="AN5" s="296"/>
    </row>
    <row r="6" spans="1:40" ht="19.5" customHeight="1" thickBot="1" x14ac:dyDescent="0.3">
      <c r="A6" s="276" t="s">
        <v>171</v>
      </c>
      <c r="B6" s="249"/>
      <c r="C6" s="249"/>
      <c r="D6" s="249"/>
      <c r="E6" s="249"/>
      <c r="F6" s="249"/>
      <c r="G6" s="249"/>
      <c r="H6" s="249"/>
      <c r="I6" s="249"/>
      <c r="J6" s="249"/>
      <c r="K6" s="250"/>
      <c r="N6" s="276" t="s">
        <v>172</v>
      </c>
      <c r="O6" s="249"/>
      <c r="P6" s="249"/>
      <c r="Q6" s="249"/>
      <c r="R6" s="249"/>
      <c r="S6" s="249"/>
      <c r="T6" s="249"/>
      <c r="U6" s="249"/>
      <c r="V6" s="249"/>
      <c r="W6" s="249"/>
      <c r="X6" s="250"/>
      <c r="Z6" s="238"/>
      <c r="AN6" s="238"/>
    </row>
    <row r="7" spans="1:40" ht="21" customHeight="1" x14ac:dyDescent="0.25">
      <c r="A7" s="25"/>
      <c r="B7" s="39">
        <v>2011</v>
      </c>
      <c r="C7" s="39">
        <v>2012</v>
      </c>
      <c r="D7" s="39">
        <v>2013</v>
      </c>
      <c r="E7" s="39">
        <v>2014</v>
      </c>
      <c r="F7" s="39">
        <v>2015</v>
      </c>
      <c r="G7" s="39">
        <v>2016</v>
      </c>
      <c r="H7" s="39">
        <v>2017</v>
      </c>
      <c r="I7" s="39">
        <v>2018</v>
      </c>
      <c r="J7" s="39">
        <v>2019</v>
      </c>
      <c r="K7" s="39">
        <v>2020</v>
      </c>
      <c r="N7" s="25"/>
      <c r="O7" s="39">
        <v>2011</v>
      </c>
      <c r="P7" s="39">
        <v>2012</v>
      </c>
      <c r="Q7" s="39">
        <v>2013</v>
      </c>
      <c r="R7" s="39">
        <v>2014</v>
      </c>
      <c r="S7" s="39">
        <v>2015</v>
      </c>
      <c r="T7" s="39">
        <v>2016</v>
      </c>
      <c r="U7" s="39">
        <v>2017</v>
      </c>
      <c r="V7" s="39">
        <v>2018</v>
      </c>
      <c r="W7" s="39">
        <v>2019</v>
      </c>
      <c r="X7" s="39">
        <v>2020</v>
      </c>
      <c r="Y7" s="209"/>
      <c r="Z7" s="238"/>
      <c r="AB7" s="281" t="s">
        <v>24</v>
      </c>
      <c r="AC7" s="238"/>
      <c r="AD7" s="238"/>
      <c r="AE7" s="238"/>
      <c r="AF7" s="238"/>
      <c r="AG7" s="238"/>
      <c r="AH7" s="238"/>
      <c r="AI7" s="238"/>
      <c r="AJ7" s="238"/>
      <c r="AK7" s="238"/>
      <c r="AL7" s="238"/>
      <c r="AN7" s="238"/>
    </row>
    <row r="8" spans="1:40" ht="46.5" customHeight="1" x14ac:dyDescent="0.25">
      <c r="A8" s="40" t="s">
        <v>173</v>
      </c>
      <c r="B8" s="29">
        <v>102</v>
      </c>
      <c r="C8" s="29">
        <v>113</v>
      </c>
      <c r="D8" s="29">
        <v>128</v>
      </c>
      <c r="E8" s="29">
        <v>136</v>
      </c>
      <c r="F8" s="29">
        <v>147</v>
      </c>
      <c r="G8" s="29">
        <v>161</v>
      </c>
      <c r="H8" s="29">
        <v>191</v>
      </c>
      <c r="I8" s="29">
        <v>454</v>
      </c>
      <c r="J8" s="37">
        <v>751</v>
      </c>
      <c r="K8" s="37">
        <v>962</v>
      </c>
      <c r="N8" s="40" t="s">
        <v>173</v>
      </c>
      <c r="O8" s="29">
        <v>102</v>
      </c>
      <c r="P8" s="29">
        <v>113</v>
      </c>
      <c r="Q8" s="29">
        <v>128</v>
      </c>
      <c r="R8" s="29">
        <v>136</v>
      </c>
      <c r="S8" s="29">
        <v>147</v>
      </c>
      <c r="T8" s="29">
        <v>161</v>
      </c>
      <c r="U8" s="29">
        <v>191</v>
      </c>
      <c r="V8" s="29">
        <v>454</v>
      </c>
      <c r="W8" s="37">
        <v>751</v>
      </c>
      <c r="X8" s="37">
        <v>962</v>
      </c>
      <c r="Z8" s="238"/>
      <c r="AB8" s="274" t="s">
        <v>174</v>
      </c>
      <c r="AC8" s="238"/>
      <c r="AD8" s="238"/>
      <c r="AE8" s="238"/>
      <c r="AF8" s="238"/>
      <c r="AG8" s="238"/>
      <c r="AH8" s="238"/>
      <c r="AI8" s="238"/>
      <c r="AJ8" s="238"/>
      <c r="AK8" s="238"/>
      <c r="AL8" s="238"/>
      <c r="AN8" s="238"/>
    </row>
    <row r="9" spans="1:40" ht="42" customHeight="1" x14ac:dyDescent="0.25">
      <c r="A9" s="40" t="s">
        <v>175</v>
      </c>
      <c r="B9" s="29">
        <v>2.9</v>
      </c>
      <c r="C9" s="29">
        <v>2.9</v>
      </c>
      <c r="D9" s="29">
        <v>3</v>
      </c>
      <c r="E9" s="29">
        <v>3</v>
      </c>
      <c r="F9" s="29">
        <v>3.2</v>
      </c>
      <c r="G9" s="32">
        <v>4.0999999999999996</v>
      </c>
      <c r="H9" s="29">
        <v>4.3</v>
      </c>
      <c r="I9" s="29">
        <v>9.1</v>
      </c>
      <c r="J9" s="37">
        <v>14.4</v>
      </c>
      <c r="K9" s="37">
        <v>18</v>
      </c>
      <c r="N9" s="40" t="s">
        <v>175</v>
      </c>
      <c r="O9" s="29">
        <v>2.9</v>
      </c>
      <c r="P9" s="29">
        <v>2.9</v>
      </c>
      <c r="Q9" s="29">
        <v>3</v>
      </c>
      <c r="R9" s="29">
        <v>3</v>
      </c>
      <c r="S9" s="29">
        <v>3.2</v>
      </c>
      <c r="T9" s="32">
        <v>4.0999999999999996</v>
      </c>
      <c r="U9" s="29">
        <v>4.3</v>
      </c>
      <c r="V9" s="29">
        <v>9.1</v>
      </c>
      <c r="W9" s="37">
        <v>14.4</v>
      </c>
      <c r="X9" s="37">
        <v>18</v>
      </c>
      <c r="Z9" s="238"/>
      <c r="AB9" s="238"/>
      <c r="AC9" s="238"/>
      <c r="AD9" s="238"/>
      <c r="AE9" s="238"/>
      <c r="AF9" s="238"/>
      <c r="AG9" s="238"/>
      <c r="AH9" s="238"/>
      <c r="AI9" s="238"/>
      <c r="AJ9" s="238"/>
      <c r="AK9" s="238"/>
      <c r="AL9" s="238"/>
      <c r="AN9" s="238"/>
    </row>
    <row r="10" spans="1:40" ht="75.75" customHeight="1" x14ac:dyDescent="0.25">
      <c r="A10" s="40" t="s">
        <v>176</v>
      </c>
      <c r="B10" s="41">
        <v>38152</v>
      </c>
      <c r="C10" s="41">
        <v>112499</v>
      </c>
      <c r="D10" s="41">
        <v>240822</v>
      </c>
      <c r="E10" s="41">
        <v>295934</v>
      </c>
      <c r="F10" s="42">
        <v>592716</v>
      </c>
      <c r="G10" s="41">
        <v>34914</v>
      </c>
      <c r="H10" s="41">
        <v>34644</v>
      </c>
      <c r="I10" s="41">
        <v>72193</v>
      </c>
      <c r="J10" s="45">
        <v>109080</v>
      </c>
      <c r="K10" s="45">
        <v>130043</v>
      </c>
      <c r="N10" s="40" t="s">
        <v>176</v>
      </c>
      <c r="O10" s="41">
        <v>38152</v>
      </c>
      <c r="P10" s="41">
        <v>112499</v>
      </c>
      <c r="Q10" s="41">
        <v>240822</v>
      </c>
      <c r="R10" s="41">
        <v>295934</v>
      </c>
      <c r="S10" s="42">
        <v>592716</v>
      </c>
      <c r="T10" s="41">
        <v>34914</v>
      </c>
      <c r="U10" s="41">
        <v>34644</v>
      </c>
      <c r="V10" s="41">
        <v>72193</v>
      </c>
      <c r="W10" s="45">
        <v>109080</v>
      </c>
      <c r="X10" s="45">
        <v>130043</v>
      </c>
      <c r="Y10" s="210"/>
      <c r="Z10" s="238"/>
      <c r="AB10" s="208"/>
      <c r="AC10" s="208"/>
      <c r="AD10" s="208"/>
      <c r="AE10" s="208"/>
      <c r="AF10" s="208"/>
      <c r="AG10" s="208"/>
      <c r="AH10" s="208"/>
      <c r="AI10" s="208"/>
      <c r="AJ10" s="208"/>
      <c r="AK10" s="208"/>
      <c r="AL10" s="208"/>
      <c r="AN10" s="238"/>
    </row>
    <row r="11" spans="1:40" ht="63.75" customHeight="1" x14ac:dyDescent="0.25">
      <c r="A11" s="40" t="s">
        <v>177</v>
      </c>
      <c r="B11" s="29">
        <v>1.3</v>
      </c>
      <c r="C11" s="29">
        <v>3.6</v>
      </c>
      <c r="D11" s="29">
        <v>6.4</v>
      </c>
      <c r="E11" s="29">
        <v>5.7</v>
      </c>
      <c r="F11" s="35">
        <v>10.199999999999999</v>
      </c>
      <c r="G11" s="29">
        <v>5.4</v>
      </c>
      <c r="H11" s="29">
        <v>5.2</v>
      </c>
      <c r="I11" s="29">
        <v>9.3000000000000007</v>
      </c>
      <c r="J11" s="37">
        <v>14.4</v>
      </c>
      <c r="K11" s="37">
        <v>18</v>
      </c>
      <c r="N11" s="40" t="s">
        <v>177</v>
      </c>
      <c r="O11" s="29">
        <v>1.3</v>
      </c>
      <c r="P11" s="29">
        <v>3.6</v>
      </c>
      <c r="Q11" s="29">
        <v>6.4</v>
      </c>
      <c r="R11" s="29">
        <v>5.7</v>
      </c>
      <c r="S11" s="35">
        <v>10.199999999999999</v>
      </c>
      <c r="T11" s="29">
        <v>5.4</v>
      </c>
      <c r="U11" s="29">
        <v>5.2</v>
      </c>
      <c r="V11" s="29">
        <v>9.3000000000000007</v>
      </c>
      <c r="W11" s="37">
        <v>14.4</v>
      </c>
      <c r="X11" s="37">
        <v>18</v>
      </c>
      <c r="Z11" s="238"/>
      <c r="AN11" s="238"/>
    </row>
    <row r="12" spans="1:40" ht="58.5" customHeight="1" x14ac:dyDescent="0.25">
      <c r="A12" s="40" t="s">
        <v>178</v>
      </c>
      <c r="B12" s="41">
        <v>10481</v>
      </c>
      <c r="C12" s="41">
        <v>12976</v>
      </c>
      <c r="D12" s="41">
        <v>16006</v>
      </c>
      <c r="E12" s="41">
        <v>18753</v>
      </c>
      <c r="F12" s="42">
        <v>21778</v>
      </c>
      <c r="G12" s="41">
        <v>25056</v>
      </c>
      <c r="H12" s="29">
        <v>29021</v>
      </c>
      <c r="I12" s="29">
        <v>40974</v>
      </c>
      <c r="J12" s="45">
        <v>54867</v>
      </c>
      <c r="K12" s="45">
        <v>65214</v>
      </c>
      <c r="N12" s="40" t="s">
        <v>178</v>
      </c>
      <c r="O12" s="41">
        <v>10481</v>
      </c>
      <c r="P12" s="41">
        <v>12976</v>
      </c>
      <c r="Q12" s="41">
        <v>16006</v>
      </c>
      <c r="R12" s="41">
        <v>18753</v>
      </c>
      <c r="S12" s="42">
        <v>21778</v>
      </c>
      <c r="T12" s="41">
        <v>25056</v>
      </c>
      <c r="U12" s="29">
        <v>29021</v>
      </c>
      <c r="V12" s="29">
        <v>40974</v>
      </c>
      <c r="W12" s="45">
        <v>54867</v>
      </c>
      <c r="X12" s="45">
        <v>65214</v>
      </c>
      <c r="Y12" s="210"/>
      <c r="Z12" s="238"/>
      <c r="AN12" s="238"/>
    </row>
    <row r="13" spans="1:40" ht="66.75" customHeight="1" x14ac:dyDescent="0.25">
      <c r="A13" s="40" t="s">
        <v>179</v>
      </c>
      <c r="B13" s="29">
        <v>11.4</v>
      </c>
      <c r="C13" s="29">
        <v>14</v>
      </c>
      <c r="D13" s="29">
        <v>17.5</v>
      </c>
      <c r="E13" s="29">
        <v>20.3</v>
      </c>
      <c r="F13" s="35">
        <v>23.3</v>
      </c>
      <c r="G13" s="29">
        <v>29.3</v>
      </c>
      <c r="H13" s="29">
        <v>31.5</v>
      </c>
      <c r="I13" s="29">
        <v>40.700000000000003</v>
      </c>
      <c r="J13" s="37">
        <v>49.3</v>
      </c>
      <c r="K13" s="37">
        <v>54.9</v>
      </c>
      <c r="N13" s="40" t="s">
        <v>179</v>
      </c>
      <c r="O13" s="29">
        <v>11.4</v>
      </c>
      <c r="P13" s="29">
        <v>14</v>
      </c>
      <c r="Q13" s="29">
        <v>17.5</v>
      </c>
      <c r="R13" s="29">
        <v>20.3</v>
      </c>
      <c r="S13" s="35">
        <v>23.3</v>
      </c>
      <c r="T13" s="29">
        <v>29.3</v>
      </c>
      <c r="U13" s="29">
        <v>31.5</v>
      </c>
      <c r="V13" s="29">
        <v>40.700000000000003</v>
      </c>
      <c r="W13" s="37">
        <v>49.3</v>
      </c>
      <c r="X13" s="37">
        <v>54.9</v>
      </c>
      <c r="Z13" s="238"/>
      <c r="AN13" s="238"/>
    </row>
    <row r="14" spans="1:40" ht="81.75" customHeight="1" x14ac:dyDescent="0.25">
      <c r="A14" s="40" t="s">
        <v>180</v>
      </c>
      <c r="B14" s="30">
        <v>7747.1</v>
      </c>
      <c r="C14" s="30">
        <v>13268.9</v>
      </c>
      <c r="D14" s="30">
        <v>15466.5</v>
      </c>
      <c r="E14" s="30">
        <v>19325.8</v>
      </c>
      <c r="F14" s="43">
        <v>33312.699999999997</v>
      </c>
      <c r="G14" s="30">
        <v>4192.7</v>
      </c>
      <c r="H14" s="29">
        <v>4205.5</v>
      </c>
      <c r="I14" s="29">
        <v>4483.8999999999996</v>
      </c>
      <c r="J14" s="38">
        <v>4783.8</v>
      </c>
      <c r="K14" s="38">
        <v>5805.9</v>
      </c>
      <c r="N14" s="40" t="s">
        <v>180</v>
      </c>
      <c r="O14" s="30">
        <v>7747.1</v>
      </c>
      <c r="P14" s="30">
        <v>13268.9</v>
      </c>
      <c r="Q14" s="30">
        <v>15466.5</v>
      </c>
      <c r="R14" s="30">
        <v>19325.8</v>
      </c>
      <c r="S14" s="43">
        <v>33312.699999999997</v>
      </c>
      <c r="T14" s="30">
        <v>4192.7</v>
      </c>
      <c r="U14" s="29">
        <v>4205.5</v>
      </c>
      <c r="V14" s="29">
        <v>4483.8999999999996</v>
      </c>
      <c r="W14" s="38">
        <v>4783.8</v>
      </c>
      <c r="X14" s="38">
        <v>5805.9</v>
      </c>
      <c r="Y14" s="211"/>
      <c r="Z14" s="238"/>
      <c r="AN14" s="238"/>
    </row>
    <row r="15" spans="1:40" ht="93" customHeight="1" x14ac:dyDescent="0.25">
      <c r="A15" s="40" t="s">
        <v>181</v>
      </c>
      <c r="B15" s="29" t="s">
        <v>182</v>
      </c>
      <c r="C15" s="29" t="s">
        <v>183</v>
      </c>
      <c r="D15" s="29">
        <v>205.3</v>
      </c>
      <c r="E15" s="29">
        <v>190.5</v>
      </c>
      <c r="F15" s="35">
        <v>217</v>
      </c>
      <c r="G15" s="29">
        <v>208.6</v>
      </c>
      <c r="H15" s="29">
        <v>180.6</v>
      </c>
      <c r="I15" s="29">
        <v>159.9</v>
      </c>
      <c r="J15" s="37">
        <v>152.19999999999999</v>
      </c>
      <c r="K15" s="37">
        <v>140.9</v>
      </c>
      <c r="N15" s="40" t="s">
        <v>181</v>
      </c>
      <c r="O15" s="29" t="s">
        <v>182</v>
      </c>
      <c r="P15" s="29" t="s">
        <v>183</v>
      </c>
      <c r="Q15" s="29">
        <v>205.3</v>
      </c>
      <c r="R15" s="29">
        <v>190.5</v>
      </c>
      <c r="S15" s="35">
        <v>217</v>
      </c>
      <c r="T15" s="29">
        <v>208.6</v>
      </c>
      <c r="U15" s="29">
        <v>180.6</v>
      </c>
      <c r="V15" s="29">
        <v>159.9</v>
      </c>
      <c r="W15" s="37">
        <v>152.19999999999999</v>
      </c>
      <c r="X15" s="37">
        <v>140.9</v>
      </c>
      <c r="Z15" s="238"/>
      <c r="AN15" s="238"/>
    </row>
    <row r="16" spans="1:40" ht="93.75" customHeight="1" x14ac:dyDescent="0.25">
      <c r="A16" s="40" t="s">
        <v>184</v>
      </c>
      <c r="B16" s="29" t="s">
        <v>185</v>
      </c>
      <c r="C16" s="29" t="s">
        <v>186</v>
      </c>
      <c r="D16" s="29" t="s">
        <v>187</v>
      </c>
      <c r="E16" s="29" t="s">
        <v>188</v>
      </c>
      <c r="F16" s="35" t="s">
        <v>189</v>
      </c>
      <c r="G16" s="35" t="s">
        <v>190</v>
      </c>
      <c r="H16" s="44" t="s">
        <v>74</v>
      </c>
      <c r="I16" s="44" t="s">
        <v>74</v>
      </c>
      <c r="J16" s="37"/>
      <c r="K16" s="37"/>
      <c r="N16" s="40" t="s">
        <v>184</v>
      </c>
      <c r="O16" s="29" t="s">
        <v>185</v>
      </c>
      <c r="P16" s="29" t="s">
        <v>186</v>
      </c>
      <c r="Q16" s="29" t="s">
        <v>187</v>
      </c>
      <c r="R16" s="29" t="s">
        <v>188</v>
      </c>
      <c r="S16" s="35" t="s">
        <v>189</v>
      </c>
      <c r="T16" s="35" t="s">
        <v>190</v>
      </c>
      <c r="U16" s="44" t="s">
        <v>74</v>
      </c>
      <c r="V16" s="44" t="s">
        <v>74</v>
      </c>
      <c r="W16" s="37"/>
      <c r="X16" s="37"/>
      <c r="Z16" s="238"/>
      <c r="AB16" s="285" t="s">
        <v>191</v>
      </c>
      <c r="AC16" s="238"/>
      <c r="AD16" s="238"/>
      <c r="AE16" s="238"/>
      <c r="AF16" s="238"/>
      <c r="AG16" s="238"/>
      <c r="AH16" s="238"/>
      <c r="AI16" s="238"/>
      <c r="AJ16" s="238"/>
      <c r="AK16" s="238"/>
      <c r="AL16" s="238"/>
      <c r="AN16" s="238"/>
    </row>
    <row r="17" spans="1:40" x14ac:dyDescent="0.25">
      <c r="N17" s="297" t="s">
        <v>192</v>
      </c>
      <c r="O17" s="254"/>
      <c r="P17" s="254"/>
      <c r="Q17" s="254"/>
      <c r="R17" s="254"/>
      <c r="S17" s="254"/>
      <c r="T17" s="254"/>
      <c r="U17" s="254"/>
      <c r="V17" s="255"/>
      <c r="Z17" s="238"/>
      <c r="AN17" s="238"/>
    </row>
    <row r="18" spans="1:40" ht="27" customHeight="1" x14ac:dyDescent="0.25">
      <c r="N18" s="34" t="s">
        <v>193</v>
      </c>
      <c r="O18" s="32">
        <v>0.56058399999999997</v>
      </c>
      <c r="P18" s="32">
        <v>0.83697100000000002</v>
      </c>
      <c r="Q18" s="32">
        <v>0.89710599999999996</v>
      </c>
      <c r="R18" s="32">
        <v>1.0260180000000001</v>
      </c>
      <c r="S18" s="32">
        <v>1.6253610000000001</v>
      </c>
      <c r="T18" s="32">
        <v>1.9998</v>
      </c>
      <c r="U18" s="32">
        <v>1.9333</v>
      </c>
      <c r="V18" s="32">
        <v>2.0402</v>
      </c>
      <c r="W18" s="32">
        <v>2.0916999999999999</v>
      </c>
      <c r="X18" s="32">
        <v>2.4382999999999999</v>
      </c>
      <c r="Y18" s="209"/>
      <c r="Z18" s="238"/>
      <c r="AD18" s="270" t="s">
        <v>34</v>
      </c>
      <c r="AE18" s="254"/>
      <c r="AF18" s="254"/>
      <c r="AG18" s="254"/>
      <c r="AH18" s="255"/>
      <c r="AI18" s="188">
        <f>K8-B8</f>
        <v>860</v>
      </c>
      <c r="AN18" s="238"/>
    </row>
    <row r="19" spans="1:40" ht="29.25" customHeight="1" x14ac:dyDescent="0.25">
      <c r="N19" s="46" t="s">
        <v>194</v>
      </c>
      <c r="O19" s="32">
        <f t="shared" ref="O19:X19" si="0">O10/O18</f>
        <v>68057.597077333645</v>
      </c>
      <c r="P19" s="32">
        <f t="shared" si="0"/>
        <v>134412.06445623565</v>
      </c>
      <c r="Q19" s="32">
        <f t="shared" si="0"/>
        <v>268443.19400383008</v>
      </c>
      <c r="R19" s="32">
        <f t="shared" si="0"/>
        <v>288429.63768666825</v>
      </c>
      <c r="S19" s="32">
        <f t="shared" si="0"/>
        <v>364667.2954500569</v>
      </c>
      <c r="T19" s="32">
        <f t="shared" si="0"/>
        <v>17458.745874587457</v>
      </c>
      <c r="U19" s="32">
        <f t="shared" si="0"/>
        <v>17919.619303781099</v>
      </c>
      <c r="V19" s="32">
        <f t="shared" si="0"/>
        <v>35385.256347416922</v>
      </c>
      <c r="W19" s="32">
        <f t="shared" si="0"/>
        <v>52148.969737534069</v>
      </c>
      <c r="X19" s="32">
        <f t="shared" si="0"/>
        <v>53333.470040602064</v>
      </c>
      <c r="Y19" s="209"/>
      <c r="Z19" s="238"/>
      <c r="AD19" s="270" t="s">
        <v>35</v>
      </c>
      <c r="AE19" s="254"/>
      <c r="AF19" s="254"/>
      <c r="AG19" s="254"/>
      <c r="AH19" s="255"/>
      <c r="AI19" s="189">
        <f>(K8/B8-1)*100</f>
        <v>843.13725490196077</v>
      </c>
      <c r="AN19" s="238"/>
    </row>
    <row r="20" spans="1:40" ht="31.5" customHeight="1" x14ac:dyDescent="0.25">
      <c r="N20" s="46" t="s">
        <v>195</v>
      </c>
      <c r="O20" s="32">
        <f t="shared" ref="O20:X20" si="1">O14/O18</f>
        <v>13819.695175031755</v>
      </c>
      <c r="P20" s="32">
        <f t="shared" si="1"/>
        <v>15853.476404797775</v>
      </c>
      <c r="Q20" s="32">
        <f t="shared" si="1"/>
        <v>17240.437584856194</v>
      </c>
      <c r="R20" s="32">
        <f t="shared" si="1"/>
        <v>18835.731926730328</v>
      </c>
      <c r="S20" s="32">
        <f t="shared" si="1"/>
        <v>20495.569907239067</v>
      </c>
      <c r="T20" s="32">
        <f t="shared" si="1"/>
        <v>2096.5596559655964</v>
      </c>
      <c r="U20" s="32">
        <f t="shared" si="1"/>
        <v>2175.2961257952725</v>
      </c>
      <c r="V20" s="32">
        <f t="shared" si="1"/>
        <v>2197.774727967846</v>
      </c>
      <c r="W20" s="32">
        <f t="shared" si="1"/>
        <v>2287.039250370512</v>
      </c>
      <c r="X20" s="32">
        <f t="shared" si="1"/>
        <v>2381.1261944797602</v>
      </c>
      <c r="Y20" s="209"/>
      <c r="Z20" s="238"/>
      <c r="AD20" s="270" t="s">
        <v>36</v>
      </c>
      <c r="AE20" s="254"/>
      <c r="AF20" s="254"/>
      <c r="AG20" s="254"/>
      <c r="AH20" s="255"/>
      <c r="AI20" s="189">
        <f>(K8/B8)^(1/9)*100</f>
        <v>128.31756214576674</v>
      </c>
      <c r="AN20" s="238"/>
    </row>
    <row r="21" spans="1:40" ht="16.5" customHeight="1" x14ac:dyDescent="0.25">
      <c r="Z21" s="238"/>
      <c r="AD21" s="270" t="s">
        <v>37</v>
      </c>
      <c r="AE21" s="254"/>
      <c r="AF21" s="254"/>
      <c r="AG21" s="254"/>
      <c r="AH21" s="255"/>
      <c r="AI21" s="189">
        <f>AI20-100</f>
        <v>28.317562145766743</v>
      </c>
      <c r="AN21" s="238"/>
    </row>
    <row r="22" spans="1:40" ht="6" customHeight="1" x14ac:dyDescent="0.25">
      <c r="A22" s="247"/>
      <c r="B22" s="238"/>
      <c r="C22" s="238"/>
      <c r="D22" s="238"/>
      <c r="E22" s="238"/>
      <c r="F22" s="238"/>
      <c r="G22" s="238"/>
      <c r="H22" s="238"/>
      <c r="I22" s="238"/>
      <c r="J22" s="238"/>
      <c r="K22" s="238"/>
      <c r="L22" s="238"/>
      <c r="M22" s="238"/>
      <c r="N22" s="238"/>
      <c r="O22" s="238"/>
      <c r="P22" s="238"/>
      <c r="Q22" s="238"/>
      <c r="R22" s="238"/>
      <c r="S22" s="238"/>
      <c r="T22" s="238"/>
      <c r="U22" s="238"/>
      <c r="V22" s="238"/>
      <c r="W22" s="238"/>
      <c r="X22" s="238"/>
      <c r="Y22" s="296"/>
      <c r="Z22" s="238"/>
      <c r="AE22" s="296"/>
      <c r="AF22" s="238"/>
      <c r="AG22" s="238"/>
      <c r="AH22" s="238"/>
      <c r="AN22" s="238"/>
    </row>
    <row r="23" spans="1:40" ht="6" customHeight="1" x14ac:dyDescent="0.25">
      <c r="Z23" s="238"/>
      <c r="AA23" s="237"/>
      <c r="AB23" s="238"/>
      <c r="AC23" s="238"/>
      <c r="AD23" s="238"/>
      <c r="AE23" s="238"/>
      <c r="AF23" s="238"/>
      <c r="AG23" s="238"/>
      <c r="AH23" s="238"/>
      <c r="AI23" s="238"/>
      <c r="AJ23" s="238"/>
      <c r="AK23" s="238"/>
      <c r="AL23" s="238"/>
      <c r="AM23" s="238"/>
      <c r="AN23" s="238"/>
    </row>
  </sheetData>
  <mergeCells count="16">
    <mergeCell ref="AN1:AN23"/>
    <mergeCell ref="A6:K6"/>
    <mergeCell ref="AE22:AH22"/>
    <mergeCell ref="AD21:AH21"/>
    <mergeCell ref="AB7:AL7"/>
    <mergeCell ref="AA23:AM23"/>
    <mergeCell ref="AD19:AH19"/>
    <mergeCell ref="N6:X6"/>
    <mergeCell ref="AB8:AL9"/>
    <mergeCell ref="AB16:AL16"/>
    <mergeCell ref="AD20:AH20"/>
    <mergeCell ref="Z1:Z23"/>
    <mergeCell ref="A22:Y22"/>
    <mergeCell ref="A4:Y4"/>
    <mergeCell ref="N17:V17"/>
    <mergeCell ref="AD18:AH18"/>
  </mergeCells>
  <pageMargins left="0.7" right="0.7" top="0.75" bottom="0.75" header="0.3" footer="0.3"/>
  <pageSetup paperSize="9" orientation="portrait" horizontalDpi="1200" verticalDpi="120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35"/>
  <sheetViews>
    <sheetView showGridLines="0" zoomScale="70" zoomScaleNormal="70" workbookViewId="0">
      <selection activeCell="C25" sqref="C25"/>
    </sheetView>
  </sheetViews>
  <sheetFormatPr defaultRowHeight="15" x14ac:dyDescent="0.25"/>
  <cols>
    <col min="1" max="1" width="58" customWidth="1"/>
    <col min="2" max="9" width="11" customWidth="1"/>
    <col min="10" max="10" width="1.7109375" customWidth="1"/>
    <col min="26" max="26" width="1.7109375" customWidth="1"/>
  </cols>
  <sheetData>
    <row r="1" spans="1:26" s="208" customFormat="1" x14ac:dyDescent="0.25">
      <c r="J1" s="257"/>
      <c r="Z1" s="257"/>
    </row>
    <row r="2" spans="1:26" s="208" customFormat="1" x14ac:dyDescent="0.25">
      <c r="J2" s="296"/>
      <c r="Z2" s="296"/>
    </row>
    <row r="3" spans="1:26" s="208" customFormat="1" ht="21" customHeight="1" x14ac:dyDescent="0.25">
      <c r="J3" s="296"/>
      <c r="M3" s="281" t="s">
        <v>24</v>
      </c>
      <c r="N3" s="296"/>
      <c r="O3" s="296"/>
      <c r="P3" s="296"/>
      <c r="Q3" s="296"/>
      <c r="R3" s="296"/>
      <c r="S3" s="296"/>
      <c r="T3" s="296"/>
      <c r="U3" s="296"/>
      <c r="V3" s="296"/>
      <c r="W3" s="296"/>
      <c r="X3" s="296"/>
      <c r="Z3" s="296"/>
    </row>
    <row r="4" spans="1:26" s="208" customFormat="1" ht="10.5" customHeight="1" x14ac:dyDescent="0.25">
      <c r="A4" s="257"/>
      <c r="B4" s="296"/>
      <c r="C4" s="296"/>
      <c r="D4" s="296"/>
      <c r="E4" s="296"/>
      <c r="F4" s="296"/>
      <c r="G4" s="296"/>
      <c r="H4" s="296"/>
      <c r="I4" s="296"/>
      <c r="J4" s="296"/>
      <c r="M4" s="296"/>
      <c r="N4" s="296"/>
      <c r="O4" s="296"/>
      <c r="P4" s="296"/>
      <c r="Q4" s="296"/>
      <c r="R4" s="296"/>
      <c r="S4" s="296"/>
      <c r="T4" s="296"/>
      <c r="U4" s="296"/>
      <c r="V4" s="296"/>
      <c r="W4" s="296"/>
      <c r="X4" s="296"/>
      <c r="Z4" s="296"/>
    </row>
    <row r="5" spans="1:26" s="208" customFormat="1" x14ac:dyDescent="0.25">
      <c r="J5" s="296"/>
      <c r="M5" s="296"/>
      <c r="N5" s="296"/>
      <c r="O5" s="296"/>
      <c r="P5" s="296"/>
      <c r="Q5" s="296"/>
      <c r="R5" s="296"/>
      <c r="S5" s="296"/>
      <c r="T5" s="296"/>
      <c r="U5" s="296"/>
      <c r="V5" s="296"/>
      <c r="W5" s="296"/>
      <c r="X5" s="296"/>
      <c r="Z5" s="296"/>
    </row>
    <row r="6" spans="1:26" s="208" customFormat="1" ht="15" customHeight="1" x14ac:dyDescent="0.25">
      <c r="J6" s="296"/>
      <c r="M6" s="274" t="s">
        <v>196</v>
      </c>
      <c r="N6" s="296"/>
      <c r="O6" s="296"/>
      <c r="P6" s="296"/>
      <c r="Q6" s="296"/>
      <c r="R6" s="296"/>
      <c r="S6" s="296"/>
      <c r="T6" s="296"/>
      <c r="U6" s="296"/>
      <c r="V6" s="296"/>
      <c r="W6" s="296"/>
      <c r="X6" s="296"/>
      <c r="Z6" s="296"/>
    </row>
    <row r="7" spans="1:26" ht="15.75" customHeight="1" x14ac:dyDescent="0.25">
      <c r="A7" s="178" t="s">
        <v>197</v>
      </c>
      <c r="J7" s="238"/>
      <c r="M7" s="238"/>
      <c r="N7" s="238"/>
      <c r="O7" s="238"/>
      <c r="P7" s="238"/>
      <c r="Q7" s="238"/>
      <c r="R7" s="238"/>
      <c r="S7" s="238"/>
      <c r="T7" s="238"/>
      <c r="U7" s="238"/>
      <c r="V7" s="238"/>
      <c r="W7" s="238"/>
      <c r="X7" s="238"/>
      <c r="Z7" s="238"/>
    </row>
    <row r="8" spans="1:26" x14ac:dyDescent="0.25">
      <c r="B8" s="173">
        <v>2014</v>
      </c>
      <c r="C8" s="173">
        <v>2015</v>
      </c>
      <c r="D8" s="173">
        <v>2016</v>
      </c>
      <c r="E8" s="173">
        <v>2017</v>
      </c>
      <c r="F8" s="173">
        <v>2018</v>
      </c>
      <c r="G8" s="173">
        <v>2019</v>
      </c>
      <c r="H8" s="173">
        <v>2020</v>
      </c>
      <c r="J8" s="238"/>
      <c r="M8" s="238"/>
      <c r="N8" s="238"/>
      <c r="O8" s="238"/>
      <c r="P8" s="238"/>
      <c r="Q8" s="238"/>
      <c r="R8" s="238"/>
      <c r="S8" s="238"/>
      <c r="T8" s="238"/>
      <c r="U8" s="238"/>
      <c r="V8" s="238"/>
      <c r="W8" s="238"/>
      <c r="X8" s="238"/>
      <c r="Z8" s="238"/>
    </row>
    <row r="9" spans="1:26" ht="30" customHeight="1" x14ac:dyDescent="0.25">
      <c r="A9" s="174" t="s">
        <v>198</v>
      </c>
      <c r="B9" s="176">
        <v>6800.6</v>
      </c>
      <c r="C9" s="176">
        <v>12482.9</v>
      </c>
      <c r="D9" s="176">
        <v>1794.3</v>
      </c>
      <c r="E9" s="176">
        <v>2140.5</v>
      </c>
      <c r="F9" s="176">
        <v>3398.1</v>
      </c>
      <c r="G9" s="176">
        <v>5331.6</v>
      </c>
      <c r="H9" s="176">
        <v>7437.4</v>
      </c>
      <c r="J9" s="238"/>
      <c r="M9" s="238"/>
      <c r="N9" s="238"/>
      <c r="O9" s="238"/>
      <c r="P9" s="238"/>
      <c r="Q9" s="238"/>
      <c r="R9" s="238"/>
      <c r="S9" s="238"/>
      <c r="T9" s="238"/>
      <c r="U9" s="238"/>
      <c r="V9" s="238"/>
      <c r="W9" s="238"/>
      <c r="X9" s="238"/>
      <c r="Z9" s="238"/>
    </row>
    <row r="10" spans="1:26" ht="30" customHeight="1" x14ac:dyDescent="0.25">
      <c r="A10" s="174" t="s">
        <v>199</v>
      </c>
      <c r="B10" s="176">
        <v>4948</v>
      </c>
      <c r="C10" s="176">
        <v>9059</v>
      </c>
      <c r="D10" s="176">
        <v>1322.4</v>
      </c>
      <c r="E10" s="176">
        <v>1557.2</v>
      </c>
      <c r="F10" s="176">
        <v>2501.3000000000002</v>
      </c>
      <c r="G10" s="176">
        <v>3978.9</v>
      </c>
      <c r="H10" s="176">
        <v>5618.4</v>
      </c>
      <c r="J10" s="238"/>
      <c r="Z10" s="238"/>
    </row>
    <row r="11" spans="1:26" x14ac:dyDescent="0.25">
      <c r="A11" s="174" t="s">
        <v>200</v>
      </c>
      <c r="B11" s="176">
        <v>1851.7</v>
      </c>
      <c r="C11" s="176">
        <v>3421.9</v>
      </c>
      <c r="D11" s="176">
        <v>471.4</v>
      </c>
      <c r="E11" s="176">
        <v>582.79999999999995</v>
      </c>
      <c r="F11" s="176">
        <v>882.9</v>
      </c>
      <c r="G11" s="176">
        <v>1341.6</v>
      </c>
      <c r="H11" s="176">
        <v>1813.3</v>
      </c>
      <c r="J11" s="238"/>
      <c r="Z11" s="238"/>
    </row>
    <row r="12" spans="1:26" x14ac:dyDescent="0.25">
      <c r="A12" s="174" t="s">
        <v>201</v>
      </c>
      <c r="B12" s="176">
        <v>1510.9</v>
      </c>
      <c r="C12" s="176">
        <v>3165.5</v>
      </c>
      <c r="D12" s="176">
        <v>339.3</v>
      </c>
      <c r="E12" s="176">
        <v>438.8</v>
      </c>
      <c r="F12" s="176">
        <v>733.3</v>
      </c>
      <c r="G12" s="176">
        <v>953.1</v>
      </c>
      <c r="H12" s="176">
        <v>1532.1</v>
      </c>
      <c r="J12" s="238"/>
      <c r="Z12" s="238"/>
    </row>
    <row r="13" spans="1:26" x14ac:dyDescent="0.25">
      <c r="A13" s="174" t="s">
        <v>202</v>
      </c>
      <c r="B13" s="176">
        <v>1506.9</v>
      </c>
      <c r="C13" s="176">
        <v>3157.9</v>
      </c>
      <c r="D13" s="176">
        <v>338</v>
      </c>
      <c r="E13" s="176">
        <v>436.3</v>
      </c>
      <c r="F13" s="176">
        <v>723.9</v>
      </c>
      <c r="G13" s="176">
        <v>1016.2</v>
      </c>
      <c r="H13" s="176">
        <v>1665.1</v>
      </c>
      <c r="J13" s="238"/>
      <c r="Z13" s="238"/>
    </row>
    <row r="14" spans="1:26" x14ac:dyDescent="0.25">
      <c r="A14" s="174" t="s">
        <v>203</v>
      </c>
      <c r="B14" s="176">
        <v>3.3</v>
      </c>
      <c r="C14" s="176">
        <v>2.2999999999999998</v>
      </c>
      <c r="D14" s="176">
        <v>3.7</v>
      </c>
      <c r="E14" s="176">
        <v>3</v>
      </c>
      <c r="F14" s="176">
        <v>11.5</v>
      </c>
      <c r="G14" s="176">
        <v>17.3</v>
      </c>
      <c r="H14" s="176">
        <v>19.100000000000001</v>
      </c>
      <c r="J14" s="238"/>
      <c r="Z14" s="238"/>
    </row>
    <row r="15" spans="1:26" x14ac:dyDescent="0.25">
      <c r="A15" s="174" t="s">
        <v>204</v>
      </c>
      <c r="B15" s="176">
        <v>37.4</v>
      </c>
      <c r="C15" s="176">
        <v>37.799999999999997</v>
      </c>
      <c r="D15" s="176">
        <v>35.6</v>
      </c>
      <c r="E15" s="176">
        <v>37.4</v>
      </c>
      <c r="F15" s="176">
        <v>35.299999999999997</v>
      </c>
      <c r="G15" s="176">
        <v>33.700000000000003</v>
      </c>
      <c r="H15" s="176">
        <v>32.299999999999997</v>
      </c>
      <c r="J15" s="238"/>
      <c r="Z15" s="238"/>
    </row>
    <row r="16" spans="1:26" x14ac:dyDescent="0.25">
      <c r="A16" s="174" t="s">
        <v>205</v>
      </c>
      <c r="B16" s="176">
        <v>27.2</v>
      </c>
      <c r="C16" s="176">
        <v>27.4</v>
      </c>
      <c r="D16" s="176">
        <v>26.3</v>
      </c>
      <c r="E16" s="176">
        <v>27.2</v>
      </c>
      <c r="F16" s="176">
        <v>26</v>
      </c>
      <c r="G16" s="176">
        <v>25.2</v>
      </c>
      <c r="H16" s="176">
        <v>24.4</v>
      </c>
      <c r="J16" s="238"/>
      <c r="Z16" s="238"/>
    </row>
    <row r="17" spans="1:26" x14ac:dyDescent="0.25">
      <c r="J17" s="238"/>
      <c r="Z17" s="238"/>
    </row>
    <row r="18" spans="1:26" ht="6" customHeight="1" x14ac:dyDescent="0.25">
      <c r="A18" s="279"/>
      <c r="B18" s="238"/>
      <c r="C18" s="238"/>
      <c r="D18" s="238"/>
      <c r="E18" s="238"/>
      <c r="F18" s="238"/>
      <c r="G18" s="238"/>
      <c r="H18" s="238"/>
      <c r="I18" s="238"/>
      <c r="J18" s="238"/>
      <c r="Z18" s="238"/>
    </row>
    <row r="19" spans="1:26" ht="21" customHeight="1" x14ac:dyDescent="0.25">
      <c r="J19" s="238"/>
      <c r="Z19" s="238"/>
    </row>
    <row r="20" spans="1:26" ht="18" customHeight="1" x14ac:dyDescent="0.25">
      <c r="J20" s="238"/>
      <c r="Z20" s="238"/>
    </row>
    <row r="21" spans="1:26" ht="18" customHeight="1" x14ac:dyDescent="0.25">
      <c r="J21" s="238"/>
      <c r="Z21" s="238"/>
    </row>
    <row r="22" spans="1:26" ht="18" customHeight="1" x14ac:dyDescent="0.25">
      <c r="J22" s="238"/>
      <c r="Z22" s="238"/>
    </row>
    <row r="23" spans="1:26" x14ac:dyDescent="0.25">
      <c r="J23" s="238"/>
      <c r="Z23" s="238"/>
    </row>
    <row r="24" spans="1:26" ht="15.75" customHeight="1" x14ac:dyDescent="0.25">
      <c r="J24" s="238"/>
      <c r="Z24" s="238"/>
    </row>
    <row r="25" spans="1:26" ht="32.1" customHeight="1" x14ac:dyDescent="0.25">
      <c r="J25" s="238"/>
      <c r="Z25" s="238"/>
    </row>
    <row r="26" spans="1:26" ht="32.1" customHeight="1" x14ac:dyDescent="0.25">
      <c r="J26" s="238"/>
      <c r="Z26" s="238"/>
    </row>
    <row r="27" spans="1:26" ht="32.1" customHeight="1" x14ac:dyDescent="0.25">
      <c r="J27" s="238"/>
      <c r="Z27" s="238"/>
    </row>
    <row r="28" spans="1:26" ht="32.1" customHeight="1" x14ac:dyDescent="0.25">
      <c r="J28" s="238"/>
      <c r="Z28" s="238"/>
    </row>
    <row r="29" spans="1:26" ht="15.75" customHeight="1" x14ac:dyDescent="0.25">
      <c r="J29" s="238"/>
      <c r="L29" s="285" t="s">
        <v>206</v>
      </c>
      <c r="M29" s="238"/>
      <c r="N29" s="238"/>
      <c r="O29" s="238"/>
      <c r="P29" s="238"/>
      <c r="Q29" s="238"/>
      <c r="R29" s="238"/>
      <c r="S29" s="238"/>
      <c r="T29" s="238"/>
      <c r="U29" s="238"/>
      <c r="V29" s="238"/>
      <c r="W29" s="238"/>
      <c r="X29" s="238"/>
      <c r="Z29" s="238"/>
    </row>
    <row r="30" spans="1:26" ht="24.95" customHeight="1" x14ac:dyDescent="0.25">
      <c r="J30" s="238"/>
      <c r="O30" s="270" t="s">
        <v>34</v>
      </c>
      <c r="P30" s="254"/>
      <c r="Q30" s="254"/>
      <c r="R30" s="254"/>
      <c r="S30" s="255"/>
      <c r="T30" s="188">
        <f>H13-B13</f>
        <v>158.19999999999982</v>
      </c>
      <c r="Z30" s="238"/>
    </row>
    <row r="31" spans="1:26" ht="24.95" customHeight="1" x14ac:dyDescent="0.25">
      <c r="J31" s="238"/>
      <c r="O31" s="270" t="s">
        <v>35</v>
      </c>
      <c r="P31" s="254"/>
      <c r="Q31" s="254"/>
      <c r="R31" s="254"/>
      <c r="S31" s="255"/>
      <c r="T31" s="189">
        <f>(H13/B13-1)*100</f>
        <v>10.498374145596912</v>
      </c>
      <c r="Z31" s="238"/>
    </row>
    <row r="32" spans="1:26" ht="24.95" customHeight="1" x14ac:dyDescent="0.25">
      <c r="J32" s="238"/>
      <c r="O32" s="270" t="s">
        <v>36</v>
      </c>
      <c r="P32" s="254"/>
      <c r="Q32" s="254"/>
      <c r="R32" s="254"/>
      <c r="S32" s="255"/>
      <c r="T32" s="189">
        <f>(H13/B13)^(1/4)*100</f>
        <v>102.52717047945019</v>
      </c>
      <c r="Z32" s="238"/>
    </row>
    <row r="33" spans="10:26" ht="24.95" customHeight="1" x14ac:dyDescent="0.25">
      <c r="J33" s="238"/>
      <c r="O33" s="270" t="s">
        <v>37</v>
      </c>
      <c r="P33" s="254"/>
      <c r="Q33" s="254"/>
      <c r="R33" s="254"/>
      <c r="S33" s="255"/>
      <c r="T33" s="189">
        <f>T32-100</f>
        <v>2.5271704794501915</v>
      </c>
      <c r="Z33" s="238"/>
    </row>
    <row r="34" spans="10:26" x14ac:dyDescent="0.25">
      <c r="J34" s="238"/>
      <c r="Z34" s="238"/>
    </row>
    <row r="35" spans="10:26" ht="6" customHeight="1" x14ac:dyDescent="0.25">
      <c r="J35" s="238"/>
      <c r="K35" s="237"/>
      <c r="L35" s="238"/>
      <c r="M35" s="238"/>
      <c r="N35" s="238"/>
      <c r="O35" s="238"/>
      <c r="P35" s="238"/>
      <c r="Q35" s="238"/>
      <c r="R35" s="238"/>
      <c r="S35" s="238"/>
      <c r="T35" s="238"/>
      <c r="U35" s="238"/>
      <c r="V35" s="238"/>
      <c r="W35" s="238"/>
      <c r="X35" s="238"/>
      <c r="Y35" s="238"/>
      <c r="Z35" s="238"/>
    </row>
  </sheetData>
  <mergeCells count="12">
    <mergeCell ref="M6:X9"/>
    <mergeCell ref="Z1:Z35"/>
    <mergeCell ref="O33:S33"/>
    <mergeCell ref="A18:I18"/>
    <mergeCell ref="O32:S32"/>
    <mergeCell ref="J1:J35"/>
    <mergeCell ref="M3:X5"/>
    <mergeCell ref="A4:I4"/>
    <mergeCell ref="L29:X29"/>
    <mergeCell ref="K35:Y35"/>
    <mergeCell ref="O30:S30"/>
    <mergeCell ref="O31:S31"/>
  </mergeCells>
  <pageMargins left="0.75" right="0.75" top="1" bottom="1" header="0.5" footer="0.5"/>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33"/>
  <sheetViews>
    <sheetView showGridLines="0" workbookViewId="0">
      <selection activeCell="A31" sqref="A31"/>
    </sheetView>
  </sheetViews>
  <sheetFormatPr defaultRowHeight="15" x14ac:dyDescent="0.25"/>
  <cols>
    <col min="1" max="1" width="58" customWidth="1"/>
    <col min="2" max="3" width="11" customWidth="1"/>
    <col min="4" max="4" width="4.42578125" customWidth="1"/>
    <col min="5" max="5" width="1.7109375" customWidth="1"/>
    <col min="6" max="6" width="5.28515625" customWidth="1"/>
    <col min="20" max="20" width="9.140625" customWidth="1"/>
    <col min="21" max="21" width="1.7109375" customWidth="1"/>
  </cols>
  <sheetData>
    <row r="1" spans="1:21" s="208" customFormat="1" x14ac:dyDescent="0.25">
      <c r="E1" s="257"/>
      <c r="U1" s="257"/>
    </row>
    <row r="2" spans="1:21" s="208" customFormat="1" x14ac:dyDescent="0.25">
      <c r="E2" s="296"/>
      <c r="U2" s="296"/>
    </row>
    <row r="3" spans="1:21" s="208" customFormat="1" ht="21" customHeight="1" x14ac:dyDescent="0.25">
      <c r="E3" s="296"/>
      <c r="H3" s="281" t="s">
        <v>24</v>
      </c>
      <c r="I3" s="296"/>
      <c r="J3" s="296"/>
      <c r="K3" s="296"/>
      <c r="L3" s="296"/>
      <c r="M3" s="296"/>
      <c r="N3" s="296"/>
      <c r="O3" s="296"/>
      <c r="P3" s="296"/>
      <c r="Q3" s="296"/>
      <c r="R3" s="296"/>
      <c r="U3" s="296"/>
    </row>
    <row r="4" spans="1:21" s="208" customFormat="1" ht="15" customHeight="1" x14ac:dyDescent="0.25">
      <c r="E4" s="296"/>
      <c r="H4" s="274" t="s">
        <v>207</v>
      </c>
      <c r="I4" s="296"/>
      <c r="J4" s="296"/>
      <c r="K4" s="296"/>
      <c r="L4" s="296"/>
      <c r="M4" s="296"/>
      <c r="N4" s="296"/>
      <c r="O4" s="296"/>
      <c r="P4" s="296"/>
      <c r="Q4" s="296"/>
      <c r="R4" s="296"/>
      <c r="U4" s="296"/>
    </row>
    <row r="5" spans="1:21" s="208" customFormat="1" ht="6.75" customHeight="1" x14ac:dyDescent="0.25">
      <c r="A5" s="257"/>
      <c r="B5" s="296"/>
      <c r="C5" s="296"/>
      <c r="D5" s="296"/>
      <c r="E5" s="296"/>
      <c r="H5" s="296"/>
      <c r="I5" s="296"/>
      <c r="J5" s="296"/>
      <c r="K5" s="296"/>
      <c r="L5" s="296"/>
      <c r="M5" s="296"/>
      <c r="N5" s="296"/>
      <c r="O5" s="296"/>
      <c r="P5" s="296"/>
      <c r="Q5" s="296"/>
      <c r="R5" s="296"/>
      <c r="U5" s="296"/>
    </row>
    <row r="6" spans="1:21" s="208" customFormat="1" ht="15" customHeight="1" x14ac:dyDescent="0.25">
      <c r="E6" s="296"/>
      <c r="H6" s="296"/>
      <c r="I6" s="296"/>
      <c r="J6" s="296"/>
      <c r="K6" s="296"/>
      <c r="L6" s="296"/>
      <c r="M6" s="296"/>
      <c r="N6" s="296"/>
      <c r="O6" s="296"/>
      <c r="P6" s="296"/>
      <c r="Q6" s="296"/>
      <c r="R6" s="296"/>
      <c r="U6" s="296"/>
    </row>
    <row r="7" spans="1:21" ht="34.5" customHeight="1" x14ac:dyDescent="0.25">
      <c r="A7" s="298" t="s">
        <v>208</v>
      </c>
      <c r="B7" s="260"/>
      <c r="C7" s="260"/>
      <c r="E7" s="238"/>
      <c r="H7" s="238"/>
      <c r="I7" s="238"/>
      <c r="J7" s="238"/>
      <c r="K7" s="238"/>
      <c r="L7" s="238"/>
      <c r="M7" s="238"/>
      <c r="N7" s="238"/>
      <c r="O7" s="238"/>
      <c r="P7" s="238"/>
      <c r="Q7" s="238"/>
      <c r="R7" s="238"/>
      <c r="U7" s="238"/>
    </row>
    <row r="8" spans="1:21" ht="15" customHeight="1" x14ac:dyDescent="0.25">
      <c r="A8" s="173" t="s">
        <v>209</v>
      </c>
      <c r="B8" s="173" t="s">
        <v>210</v>
      </c>
      <c r="C8" s="173" t="s">
        <v>211</v>
      </c>
      <c r="E8" s="238"/>
      <c r="U8" s="238"/>
    </row>
    <row r="9" spans="1:21" ht="15" customHeight="1" x14ac:dyDescent="0.25">
      <c r="A9" s="174" t="s">
        <v>212</v>
      </c>
      <c r="B9" s="177">
        <v>463.9</v>
      </c>
      <c r="C9" s="177">
        <v>100</v>
      </c>
      <c r="E9" s="238"/>
      <c r="U9" s="238"/>
    </row>
    <row r="10" spans="1:21" ht="30" customHeight="1" x14ac:dyDescent="0.25">
      <c r="A10" s="174" t="s">
        <v>213</v>
      </c>
      <c r="B10" s="177">
        <v>95.2</v>
      </c>
      <c r="C10" s="177">
        <v>20.5</v>
      </c>
      <c r="E10" s="238"/>
      <c r="U10" s="238"/>
    </row>
    <row r="11" spans="1:21" x14ac:dyDescent="0.25">
      <c r="A11" s="174" t="s">
        <v>214</v>
      </c>
      <c r="B11" s="177">
        <v>87.2</v>
      </c>
      <c r="C11" s="177">
        <v>18.8</v>
      </c>
      <c r="E11" s="238"/>
      <c r="U11" s="238"/>
    </row>
    <row r="12" spans="1:21" x14ac:dyDescent="0.25">
      <c r="A12" s="174" t="s">
        <v>215</v>
      </c>
      <c r="B12" s="177">
        <v>46.8</v>
      </c>
      <c r="C12" s="177">
        <v>10.1</v>
      </c>
      <c r="E12" s="238"/>
      <c r="U12" s="238"/>
    </row>
    <row r="13" spans="1:21" x14ac:dyDescent="0.25">
      <c r="A13" s="174" t="s">
        <v>216</v>
      </c>
      <c r="B13" s="177">
        <v>13.2</v>
      </c>
      <c r="C13" s="177">
        <v>2.9</v>
      </c>
      <c r="E13" s="238"/>
      <c r="U13" s="238"/>
    </row>
    <row r="14" spans="1:21" x14ac:dyDescent="0.25">
      <c r="A14" s="174" t="s">
        <v>217</v>
      </c>
      <c r="B14" s="177">
        <v>1.8</v>
      </c>
      <c r="C14" s="177">
        <v>0.4</v>
      </c>
      <c r="E14" s="238"/>
      <c r="U14" s="238"/>
    </row>
    <row r="15" spans="1:21" x14ac:dyDescent="0.25">
      <c r="A15" s="174" t="s">
        <v>218</v>
      </c>
      <c r="B15" s="177">
        <v>137.9</v>
      </c>
      <c r="C15" s="177">
        <v>29.7</v>
      </c>
      <c r="E15" s="238"/>
      <c r="U15" s="238"/>
    </row>
    <row r="16" spans="1:21" x14ac:dyDescent="0.25">
      <c r="A16" s="174" t="s">
        <v>219</v>
      </c>
      <c r="B16" s="177">
        <v>48.7</v>
      </c>
      <c r="C16" s="177">
        <v>10.5</v>
      </c>
      <c r="E16" s="238"/>
      <c r="U16" s="238"/>
    </row>
    <row r="17" spans="1:21" x14ac:dyDescent="0.25">
      <c r="A17" s="174" t="s">
        <v>220</v>
      </c>
      <c r="B17" s="177">
        <v>169</v>
      </c>
      <c r="C17" s="177">
        <v>36.4</v>
      </c>
      <c r="E17" s="238"/>
      <c r="U17" s="238"/>
    </row>
    <row r="18" spans="1:21" x14ac:dyDescent="0.25">
      <c r="E18" s="238"/>
      <c r="U18" s="238"/>
    </row>
    <row r="19" spans="1:21" ht="6" customHeight="1" x14ac:dyDescent="0.25">
      <c r="A19" s="257"/>
      <c r="B19" s="238"/>
      <c r="C19" s="238"/>
      <c r="D19" s="238"/>
      <c r="E19" s="238"/>
      <c r="U19" s="238"/>
    </row>
    <row r="20" spans="1:21" ht="21" customHeight="1" x14ac:dyDescent="0.25">
      <c r="E20" s="238"/>
      <c r="U20" s="238"/>
    </row>
    <row r="21" spans="1:21" ht="18" customHeight="1" x14ac:dyDescent="0.25">
      <c r="E21" s="238"/>
      <c r="U21" s="238"/>
    </row>
    <row r="22" spans="1:21" ht="18" customHeight="1" x14ac:dyDescent="0.25">
      <c r="E22" s="238"/>
      <c r="U22" s="238"/>
    </row>
    <row r="23" spans="1:21" ht="18" customHeight="1" x14ac:dyDescent="0.25">
      <c r="E23" s="238"/>
      <c r="U23" s="238"/>
    </row>
    <row r="24" spans="1:21" x14ac:dyDescent="0.25">
      <c r="E24" s="238"/>
      <c r="U24" s="238"/>
    </row>
    <row r="25" spans="1:21" x14ac:dyDescent="0.25">
      <c r="E25" s="238"/>
      <c r="U25" s="238"/>
    </row>
    <row r="26" spans="1:21" x14ac:dyDescent="0.25">
      <c r="E26" s="238"/>
      <c r="U26" s="238"/>
    </row>
    <row r="27" spans="1:21" x14ac:dyDescent="0.25">
      <c r="E27" s="238"/>
      <c r="U27" s="238"/>
    </row>
    <row r="28" spans="1:21" x14ac:dyDescent="0.25">
      <c r="E28" s="238"/>
      <c r="U28" s="238"/>
    </row>
    <row r="29" spans="1:21" x14ac:dyDescent="0.25">
      <c r="E29" s="238"/>
      <c r="U29" s="238"/>
    </row>
    <row r="30" spans="1:21" x14ac:dyDescent="0.25">
      <c r="E30" s="238"/>
      <c r="U30" s="238"/>
    </row>
    <row r="31" spans="1:21" x14ac:dyDescent="0.25">
      <c r="E31" s="238"/>
      <c r="U31" s="238"/>
    </row>
    <row r="32" spans="1:21" x14ac:dyDescent="0.25">
      <c r="E32" s="238"/>
      <c r="U32" s="238"/>
    </row>
    <row r="33" spans="5:21" ht="6" customHeight="1" x14ac:dyDescent="0.25">
      <c r="E33" s="238"/>
      <c r="F33" s="237"/>
      <c r="G33" s="238"/>
      <c r="H33" s="238"/>
      <c r="I33" s="238"/>
      <c r="J33" s="238"/>
      <c r="K33" s="238"/>
      <c r="L33" s="238"/>
      <c r="M33" s="238"/>
      <c r="N33" s="238"/>
      <c r="O33" s="238"/>
      <c r="P33" s="238"/>
      <c r="Q33" s="238"/>
      <c r="R33" s="238"/>
      <c r="S33" s="238"/>
      <c r="T33" s="238"/>
      <c r="U33" s="238"/>
    </row>
  </sheetData>
  <mergeCells count="8">
    <mergeCell ref="U1:U33"/>
    <mergeCell ref="E1:E33"/>
    <mergeCell ref="A5:D5"/>
    <mergeCell ref="H4:R7"/>
    <mergeCell ref="H3:R3"/>
    <mergeCell ref="F33:T33"/>
    <mergeCell ref="A19:D19"/>
    <mergeCell ref="A7:C7"/>
  </mergeCells>
  <pageMargins left="0.75" right="0.75" top="1" bottom="1" header="0.5" footer="0.5"/>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Y17"/>
  <sheetViews>
    <sheetView showGridLines="0" zoomScale="80" zoomScaleNormal="80" workbookViewId="0">
      <selection activeCell="Z8" sqref="Z8"/>
    </sheetView>
  </sheetViews>
  <sheetFormatPr defaultRowHeight="15" x14ac:dyDescent="0.25"/>
  <cols>
    <col min="1" max="1" width="36" customWidth="1"/>
    <col min="9" max="9" width="14.140625" customWidth="1"/>
    <col min="12" max="12" width="1.7109375" customWidth="1"/>
    <col min="25" max="25" width="1.7109375" customWidth="1"/>
  </cols>
  <sheetData>
    <row r="1" spans="1:25" s="208" customFormat="1" ht="30" customHeight="1" thickBot="1" x14ac:dyDescent="0.3">
      <c r="L1" s="257"/>
      <c r="Y1" s="257"/>
    </row>
    <row r="2" spans="1:25" ht="15" customHeight="1" thickBot="1" x14ac:dyDescent="0.3">
      <c r="A2" s="212" t="s">
        <v>221</v>
      </c>
      <c r="B2" s="213"/>
      <c r="C2" s="213"/>
      <c r="D2" s="213"/>
      <c r="E2" s="213"/>
      <c r="F2" s="213"/>
      <c r="G2" s="213"/>
      <c r="H2" s="213"/>
      <c r="I2" s="213"/>
      <c r="J2" s="214"/>
      <c r="L2" s="238"/>
      <c r="Y2" s="238"/>
    </row>
    <row r="3" spans="1:25" ht="15" customHeight="1" thickBot="1" x14ac:dyDescent="0.3">
      <c r="A3" s="47"/>
      <c r="B3" s="48">
        <v>2011</v>
      </c>
      <c r="C3" s="48">
        <v>2012</v>
      </c>
      <c r="D3" s="48">
        <v>2013</v>
      </c>
      <c r="E3" s="48">
        <v>2014</v>
      </c>
      <c r="F3" s="48">
        <v>2015</v>
      </c>
      <c r="G3" s="48">
        <v>2016</v>
      </c>
      <c r="H3" s="48">
        <v>2017</v>
      </c>
      <c r="I3" s="64">
        <v>2018</v>
      </c>
      <c r="J3" s="69">
        <v>2020</v>
      </c>
      <c r="L3" s="238"/>
      <c r="M3" s="257"/>
      <c r="N3" s="238"/>
      <c r="O3" s="238"/>
      <c r="P3" s="238"/>
      <c r="Q3" s="238"/>
      <c r="R3" s="238"/>
      <c r="S3" s="238"/>
      <c r="T3" s="238"/>
      <c r="U3" s="238"/>
      <c r="V3" s="238"/>
      <c r="W3" s="238"/>
      <c r="X3" s="238"/>
      <c r="Y3" s="238"/>
    </row>
    <row r="4" spans="1:25" ht="54" customHeight="1" x14ac:dyDescent="0.25">
      <c r="A4" s="49" t="s">
        <v>222</v>
      </c>
      <c r="B4" s="50">
        <v>140.62</v>
      </c>
      <c r="C4" s="50">
        <v>308.58999999999997</v>
      </c>
      <c r="D4" s="50">
        <v>463.01</v>
      </c>
      <c r="E4" s="50">
        <v>692.11</v>
      </c>
      <c r="F4" s="50">
        <v>1260.67</v>
      </c>
      <c r="G4" s="51">
        <v>1786.2</v>
      </c>
      <c r="H4" s="52" t="s">
        <v>45</v>
      </c>
      <c r="I4" s="65">
        <v>3320.9</v>
      </c>
      <c r="J4" s="38">
        <v>7035.6</v>
      </c>
      <c r="L4" s="238"/>
      <c r="Y4" s="238"/>
    </row>
    <row r="5" spans="1:25" ht="19.5" customHeight="1" x14ac:dyDescent="0.25">
      <c r="A5" s="53" t="s">
        <v>223</v>
      </c>
      <c r="B5" s="54"/>
      <c r="C5" s="54"/>
      <c r="D5" s="54"/>
      <c r="E5" s="54"/>
      <c r="F5" s="54"/>
      <c r="G5" s="55"/>
      <c r="H5" s="56"/>
      <c r="I5" s="66"/>
      <c r="J5" s="37"/>
      <c r="L5" s="238"/>
      <c r="N5" s="281" t="s">
        <v>24</v>
      </c>
      <c r="O5" s="238"/>
      <c r="P5" s="238"/>
      <c r="Q5" s="238"/>
      <c r="R5" s="238"/>
      <c r="S5" s="238"/>
      <c r="T5" s="238"/>
      <c r="U5" s="238"/>
      <c r="V5" s="238"/>
      <c r="W5" s="238"/>
      <c r="Y5" s="238"/>
    </row>
    <row r="6" spans="1:25" ht="39.75" customHeight="1" x14ac:dyDescent="0.25">
      <c r="A6" s="57" t="s">
        <v>224</v>
      </c>
      <c r="B6" s="58" t="s">
        <v>96</v>
      </c>
      <c r="C6" s="54">
        <v>0.13</v>
      </c>
      <c r="D6" s="58" t="s">
        <v>96</v>
      </c>
      <c r="E6" s="54">
        <v>3.74</v>
      </c>
      <c r="F6" s="58" t="s">
        <v>96</v>
      </c>
      <c r="G6" s="59" t="s">
        <v>96</v>
      </c>
      <c r="H6" s="56"/>
      <c r="I6" s="66">
        <v>20.9</v>
      </c>
      <c r="J6" s="37">
        <v>15.2</v>
      </c>
      <c r="L6" s="238"/>
      <c r="N6" s="274" t="s">
        <v>225</v>
      </c>
      <c r="O6" s="238"/>
      <c r="P6" s="238"/>
      <c r="Q6" s="238"/>
      <c r="R6" s="238"/>
      <c r="S6" s="238"/>
      <c r="T6" s="238"/>
      <c r="U6" s="238"/>
      <c r="V6" s="238"/>
      <c r="W6" s="238"/>
      <c r="Y6" s="238"/>
    </row>
    <row r="7" spans="1:25" ht="46.5" customHeight="1" x14ac:dyDescent="0.25">
      <c r="A7" s="57" t="s">
        <v>226</v>
      </c>
      <c r="B7" s="54">
        <v>56.760000000000012</v>
      </c>
      <c r="C7" s="54">
        <v>115.94</v>
      </c>
      <c r="D7" s="54">
        <v>156.75</v>
      </c>
      <c r="E7" s="54">
        <v>231.5</v>
      </c>
      <c r="F7" s="54">
        <v>387.53</v>
      </c>
      <c r="G7" s="55">
        <v>552</v>
      </c>
      <c r="H7" s="56"/>
      <c r="I7" s="67">
        <v>1109.5999999999999</v>
      </c>
      <c r="J7" s="38">
        <v>2983.3</v>
      </c>
      <c r="L7" s="238"/>
      <c r="N7" s="238"/>
      <c r="O7" s="238"/>
      <c r="P7" s="238"/>
      <c r="Q7" s="238"/>
      <c r="R7" s="238"/>
      <c r="S7" s="238"/>
      <c r="T7" s="238"/>
      <c r="U7" s="238"/>
      <c r="V7" s="238"/>
      <c r="W7" s="238"/>
      <c r="Y7" s="238"/>
    </row>
    <row r="8" spans="1:25" ht="120.75" customHeight="1" x14ac:dyDescent="0.25">
      <c r="A8" s="57" t="s">
        <v>227</v>
      </c>
      <c r="B8" s="54">
        <v>0.99</v>
      </c>
      <c r="C8" s="54">
        <v>3.51</v>
      </c>
      <c r="D8" s="54">
        <v>1.68</v>
      </c>
      <c r="E8" s="54">
        <v>3.28</v>
      </c>
      <c r="F8" s="54">
        <v>2.56</v>
      </c>
      <c r="G8" s="55">
        <v>2.7</v>
      </c>
      <c r="H8" s="56"/>
      <c r="I8" s="68">
        <v>6</v>
      </c>
      <c r="J8" s="37">
        <v>9.5</v>
      </c>
      <c r="L8" s="238"/>
      <c r="N8" s="208"/>
      <c r="O8" s="208"/>
      <c r="P8" s="208"/>
      <c r="Q8" s="208"/>
      <c r="R8" s="208"/>
      <c r="S8" s="208"/>
      <c r="T8" s="208"/>
      <c r="U8" s="208"/>
      <c r="V8" s="208"/>
      <c r="W8" s="208"/>
      <c r="Y8" s="238"/>
    </row>
    <row r="9" spans="1:25" ht="105.75" customHeight="1" x14ac:dyDescent="0.25">
      <c r="A9" s="57" t="s">
        <v>228</v>
      </c>
      <c r="B9" s="60">
        <v>8.17</v>
      </c>
      <c r="C9" s="60">
        <v>23.09</v>
      </c>
      <c r="D9" s="60">
        <v>37.57</v>
      </c>
      <c r="E9" s="60">
        <v>46.7</v>
      </c>
      <c r="F9" s="61">
        <v>75.239999999999995</v>
      </c>
      <c r="G9" s="62">
        <v>76.5</v>
      </c>
      <c r="H9" s="56"/>
      <c r="I9" s="66">
        <v>156.69999999999999</v>
      </c>
      <c r="J9" s="37">
        <v>458.7</v>
      </c>
      <c r="L9" s="238"/>
      <c r="Y9" s="238"/>
    </row>
    <row r="10" spans="1:25" ht="96.75" customHeight="1" x14ac:dyDescent="0.25">
      <c r="A10" s="57" t="s">
        <v>229</v>
      </c>
      <c r="B10" s="60">
        <v>3.24</v>
      </c>
      <c r="C10" s="60">
        <v>7.82</v>
      </c>
      <c r="D10" s="60">
        <v>12.67</v>
      </c>
      <c r="E10" s="60">
        <v>17.3</v>
      </c>
      <c r="F10" s="54">
        <v>0.09</v>
      </c>
      <c r="G10" s="55">
        <v>0.1</v>
      </c>
      <c r="H10" s="56"/>
      <c r="I10" s="66">
        <v>6.1</v>
      </c>
      <c r="J10" s="37">
        <v>70.599999999999994</v>
      </c>
      <c r="L10" s="238"/>
      <c r="Y10" s="238"/>
    </row>
    <row r="11" spans="1:25" ht="67.5" customHeight="1" x14ac:dyDescent="0.25">
      <c r="A11" s="57" t="s">
        <v>230</v>
      </c>
      <c r="B11" s="60">
        <v>69.52000000000001</v>
      </c>
      <c r="C11" s="54">
        <v>141.35</v>
      </c>
      <c r="D11" s="54">
        <v>176.39</v>
      </c>
      <c r="E11" s="54">
        <v>270.14</v>
      </c>
      <c r="F11" s="63">
        <v>525.85</v>
      </c>
      <c r="G11" s="62">
        <v>720.2</v>
      </c>
      <c r="H11" s="56"/>
      <c r="I11" s="67">
        <v>1296.4000000000001</v>
      </c>
      <c r="J11" s="38">
        <v>2036.4</v>
      </c>
      <c r="L11" s="238"/>
      <c r="N11" s="294" t="s">
        <v>231</v>
      </c>
      <c r="O11" s="238"/>
      <c r="P11" s="238"/>
      <c r="Q11" s="238"/>
      <c r="R11" s="238"/>
      <c r="S11" s="238"/>
      <c r="T11" s="238"/>
      <c r="U11" s="238"/>
      <c r="V11" s="238"/>
      <c r="W11" s="238"/>
      <c r="Y11" s="238"/>
    </row>
    <row r="12" spans="1:25" ht="32.25" customHeight="1" x14ac:dyDescent="0.25">
      <c r="A12" s="57" t="s">
        <v>232</v>
      </c>
      <c r="B12" s="60">
        <v>1.94</v>
      </c>
      <c r="C12" s="60">
        <v>16.75</v>
      </c>
      <c r="D12" s="60">
        <v>77.95</v>
      </c>
      <c r="E12" s="54">
        <v>119.45</v>
      </c>
      <c r="F12" s="63">
        <v>269.39999999999998</v>
      </c>
      <c r="G12" s="62">
        <v>434.7</v>
      </c>
      <c r="H12" s="56"/>
      <c r="I12" s="66">
        <v>725.2</v>
      </c>
      <c r="J12" s="37">
        <v>462</v>
      </c>
      <c r="L12" s="238"/>
      <c r="P12" s="270" t="s">
        <v>34</v>
      </c>
      <c r="Q12" s="254"/>
      <c r="R12" s="254"/>
      <c r="S12" s="254"/>
      <c r="T12" s="255"/>
      <c r="U12" s="188">
        <f>J4-B4</f>
        <v>6894.9800000000005</v>
      </c>
      <c r="Y12" s="238"/>
    </row>
    <row r="13" spans="1:25" ht="16.5" customHeight="1" x14ac:dyDescent="0.25">
      <c r="L13" s="238"/>
      <c r="P13" s="270" t="s">
        <v>35</v>
      </c>
      <c r="Q13" s="254"/>
      <c r="R13" s="254"/>
      <c r="S13" s="254"/>
      <c r="T13" s="255"/>
      <c r="U13" s="189">
        <f>(J4/B4-1)*100</f>
        <v>4903.27122742142</v>
      </c>
      <c r="Y13" s="238"/>
    </row>
    <row r="14" spans="1:25" ht="18" customHeight="1" x14ac:dyDescent="0.25">
      <c r="A14" s="247"/>
      <c r="B14" s="238"/>
      <c r="C14" s="238"/>
      <c r="D14" s="238"/>
      <c r="E14" s="238"/>
      <c r="F14" s="238"/>
      <c r="G14" s="238"/>
      <c r="H14" s="238"/>
      <c r="I14" s="238"/>
      <c r="J14" s="238"/>
      <c r="K14" s="238"/>
      <c r="L14" s="238"/>
      <c r="P14" s="270" t="s">
        <v>36</v>
      </c>
      <c r="Q14" s="254"/>
      <c r="R14" s="254"/>
      <c r="S14" s="254"/>
      <c r="T14" s="255"/>
      <c r="U14" s="189">
        <f>(J4/B4)^(1/9)*100</f>
        <v>154.45643446265694</v>
      </c>
      <c r="Y14" s="238"/>
    </row>
    <row r="15" spans="1:25" ht="19.5" customHeight="1" x14ac:dyDescent="0.25">
      <c r="L15" s="238"/>
      <c r="P15" s="270" t="s">
        <v>37</v>
      </c>
      <c r="Q15" s="254"/>
      <c r="R15" s="254"/>
      <c r="S15" s="254"/>
      <c r="T15" s="255"/>
      <c r="U15" s="189">
        <f>U14-100</f>
        <v>54.456434462656944</v>
      </c>
      <c r="Y15" s="238"/>
    </row>
    <row r="16" spans="1:25" ht="18" customHeight="1" x14ac:dyDescent="0.25">
      <c r="L16" s="238"/>
      <c r="Y16" s="238"/>
    </row>
    <row r="17" spans="12:25" ht="6" customHeight="1" x14ac:dyDescent="0.25">
      <c r="L17" s="238"/>
      <c r="M17" s="237"/>
      <c r="N17" s="238"/>
      <c r="O17" s="238"/>
      <c r="P17" s="238"/>
      <c r="Q17" s="238"/>
      <c r="R17" s="238"/>
      <c r="S17" s="238"/>
      <c r="T17" s="238"/>
      <c r="U17" s="238"/>
      <c r="V17" s="238"/>
      <c r="W17" s="238"/>
      <c r="X17" s="238"/>
      <c r="Y17" s="238"/>
    </row>
  </sheetData>
  <mergeCells count="12">
    <mergeCell ref="Y1:Y17"/>
    <mergeCell ref="P12:T12"/>
    <mergeCell ref="L1:L17"/>
    <mergeCell ref="N5:W5"/>
    <mergeCell ref="P15:T15"/>
    <mergeCell ref="M3:X3"/>
    <mergeCell ref="M17:X17"/>
    <mergeCell ref="A14:K14"/>
    <mergeCell ref="N6:W7"/>
    <mergeCell ref="N11:W11"/>
    <mergeCell ref="P13:T13"/>
    <mergeCell ref="P14:T14"/>
  </mergeCells>
  <conditionalFormatting sqref="B4:I4">
    <cfRule type="colorScale" priority="8">
      <colorScale>
        <cfvo type="min"/>
        <cfvo type="percentile" val="50"/>
        <cfvo type="max"/>
        <color rgb="FFF8696B"/>
        <color rgb="FFFFEB84"/>
        <color rgb="FF63BE7B"/>
      </colorScale>
    </cfRule>
  </conditionalFormatting>
  <conditionalFormatting sqref="B7:I7">
    <cfRule type="colorScale" priority="6">
      <colorScale>
        <cfvo type="min"/>
        <cfvo type="percentile" val="50"/>
        <cfvo type="max"/>
        <color rgb="FFF8696B"/>
        <color rgb="FFFFEB84"/>
        <color rgb="FF63BE7B"/>
      </colorScale>
    </cfRule>
  </conditionalFormatting>
  <conditionalFormatting sqref="B8:I8">
    <cfRule type="colorScale" priority="5">
      <colorScale>
        <cfvo type="min"/>
        <cfvo type="percentile" val="50"/>
        <cfvo type="max"/>
        <color rgb="FFF8696B"/>
        <color rgb="FFFFEB84"/>
        <color rgb="FF63BE7B"/>
      </colorScale>
    </cfRule>
  </conditionalFormatting>
  <conditionalFormatting sqref="B9:I9">
    <cfRule type="colorScale" priority="4">
      <colorScale>
        <cfvo type="min"/>
        <cfvo type="percentile" val="50"/>
        <cfvo type="max"/>
        <color rgb="FFF8696B"/>
        <color rgb="FFFFEB84"/>
        <color rgb="FF63BE7B"/>
      </colorScale>
    </cfRule>
  </conditionalFormatting>
  <conditionalFormatting sqref="B10:I10">
    <cfRule type="colorScale" priority="3">
      <colorScale>
        <cfvo type="min"/>
        <cfvo type="percentile" val="50"/>
        <cfvo type="max"/>
        <color rgb="FFF8696B"/>
        <color rgb="FFFFEB84"/>
        <color rgb="FF63BE7B"/>
      </colorScale>
    </cfRule>
  </conditionalFormatting>
  <conditionalFormatting sqref="B11:I11">
    <cfRule type="colorScale" priority="2">
      <colorScale>
        <cfvo type="min"/>
        <cfvo type="percentile" val="50"/>
        <cfvo type="max"/>
        <color rgb="FFF8696B"/>
        <color rgb="FFFFEB84"/>
        <color rgb="FF63BE7B"/>
      </colorScale>
    </cfRule>
  </conditionalFormatting>
  <conditionalFormatting sqref="B12:I12">
    <cfRule type="colorScale" priority="1">
      <colorScale>
        <cfvo type="min"/>
        <cfvo type="percentile" val="50"/>
        <cfvo type="max"/>
        <color rgb="FFF8696B"/>
        <color rgb="FFFFEB84"/>
        <color rgb="FF63BE7B"/>
      </colorScale>
    </cfRule>
  </conditionalFormatting>
  <conditionalFormatting sqref="C6:I6">
    <cfRule type="colorScale" priority="7">
      <colorScale>
        <cfvo type="min"/>
        <cfvo type="percentile" val="50"/>
        <cfvo type="max"/>
        <color rgb="FFF8696B"/>
        <color rgb="FFFFEB84"/>
        <color rgb="FF63BE7B"/>
      </colorScale>
    </cfRule>
  </conditionalFormatting>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C31"/>
  <sheetViews>
    <sheetView showGridLines="0" zoomScale="115" zoomScaleNormal="115" workbookViewId="0"/>
  </sheetViews>
  <sheetFormatPr defaultRowHeight="15" x14ac:dyDescent="0.25"/>
  <cols>
    <col min="1" max="1" width="58" customWidth="1"/>
    <col min="2" max="11" width="11" customWidth="1"/>
    <col min="12" max="12" width="11" style="217" customWidth="1"/>
    <col min="13" max="13" width="1.7109375" customWidth="1"/>
    <col min="14" max="14" width="3.42578125" customWidth="1"/>
    <col min="28" max="28" width="3.85546875" customWidth="1"/>
    <col min="29" max="29" width="1.7109375" customWidth="1"/>
  </cols>
  <sheetData>
    <row r="1" spans="1:29" s="217" customFormat="1" ht="35.25" customHeight="1" x14ac:dyDescent="0.25">
      <c r="M1" s="219"/>
      <c r="AC1" s="218"/>
    </row>
    <row r="2" spans="1:29" s="217" customFormat="1" ht="10.5" customHeight="1" x14ac:dyDescent="0.25">
      <c r="A2" s="299"/>
      <c r="B2" s="299"/>
      <c r="C2" s="299"/>
      <c r="D2" s="299"/>
      <c r="E2" s="299"/>
      <c r="F2" s="299"/>
      <c r="G2" s="299"/>
      <c r="H2" s="299"/>
      <c r="I2" s="299"/>
      <c r="J2" s="299"/>
      <c r="K2" s="299"/>
      <c r="L2" s="218"/>
      <c r="M2" s="219"/>
      <c r="O2" s="244" t="s">
        <v>24</v>
      </c>
      <c r="P2" s="244"/>
      <c r="Q2" s="244"/>
      <c r="R2" s="244"/>
      <c r="S2" s="244"/>
      <c r="T2" s="244"/>
      <c r="U2" s="244"/>
      <c r="V2" s="244"/>
      <c r="W2" s="244"/>
      <c r="X2" s="244"/>
      <c r="Y2" s="244"/>
      <c r="Z2" s="244"/>
      <c r="AA2" s="244"/>
    </row>
    <row r="3" spans="1:29" s="217" customFormat="1" ht="15" customHeight="1" x14ac:dyDescent="0.25">
      <c r="M3" s="219"/>
      <c r="O3" s="244"/>
      <c r="P3" s="244"/>
      <c r="Q3" s="244"/>
      <c r="R3" s="244"/>
      <c r="S3" s="244"/>
      <c r="T3" s="244"/>
      <c r="U3" s="244"/>
      <c r="V3" s="244"/>
      <c r="W3" s="244"/>
      <c r="X3" s="244"/>
      <c r="Y3" s="244"/>
      <c r="Z3" s="244"/>
      <c r="AA3" s="244"/>
    </row>
    <row r="4" spans="1:29" ht="15.75" customHeight="1" x14ac:dyDescent="0.25">
      <c r="A4" s="178" t="s">
        <v>233</v>
      </c>
      <c r="M4" s="219"/>
      <c r="O4" s="244"/>
      <c r="P4" s="244"/>
      <c r="Q4" s="244"/>
      <c r="R4" s="244"/>
      <c r="S4" s="244"/>
      <c r="T4" s="244"/>
      <c r="U4" s="244"/>
      <c r="V4" s="244"/>
      <c r="W4" s="244"/>
      <c r="X4" s="244"/>
      <c r="Y4" s="244"/>
      <c r="Z4" s="244"/>
      <c r="AA4" s="244"/>
      <c r="AC4" s="257"/>
    </row>
    <row r="5" spans="1:29" ht="45" customHeight="1" x14ac:dyDescent="0.25">
      <c r="B5" s="173" t="s">
        <v>145</v>
      </c>
      <c r="C5" s="173" t="s">
        <v>234</v>
      </c>
      <c r="D5" s="173" t="s">
        <v>235</v>
      </c>
      <c r="E5" s="173" t="s">
        <v>236</v>
      </c>
      <c r="F5" s="173" t="s">
        <v>237</v>
      </c>
      <c r="G5" s="173" t="s">
        <v>238</v>
      </c>
      <c r="H5" s="173" t="s">
        <v>239</v>
      </c>
      <c r="I5" s="173" t="s">
        <v>240</v>
      </c>
      <c r="J5" s="173" t="s">
        <v>241</v>
      </c>
      <c r="K5" s="173" t="s">
        <v>242</v>
      </c>
      <c r="L5"/>
      <c r="M5" s="219"/>
      <c r="O5" s="246" t="s">
        <v>258</v>
      </c>
      <c r="P5" s="246"/>
      <c r="Q5" s="246"/>
      <c r="R5" s="246"/>
      <c r="S5" s="246"/>
      <c r="T5" s="246"/>
      <c r="U5" s="246"/>
      <c r="V5" s="246"/>
      <c r="W5" s="246"/>
      <c r="X5" s="246"/>
      <c r="Y5" s="246"/>
      <c r="Z5" s="246"/>
      <c r="AA5" s="246"/>
      <c r="AC5" s="257"/>
    </row>
    <row r="6" spans="1:29" x14ac:dyDescent="0.25">
      <c r="A6" s="174" t="s">
        <v>243</v>
      </c>
      <c r="B6" s="177">
        <v>92.6</v>
      </c>
      <c r="C6" s="177">
        <v>86.1</v>
      </c>
      <c r="D6" s="177">
        <v>83.6</v>
      </c>
      <c r="E6" s="177">
        <v>63.1</v>
      </c>
      <c r="F6" s="177">
        <v>62.6</v>
      </c>
      <c r="G6" s="177">
        <v>49.8</v>
      </c>
      <c r="H6" s="177">
        <v>49.7</v>
      </c>
      <c r="I6" s="177">
        <v>40.5</v>
      </c>
      <c r="J6" s="177">
        <v>27.8</v>
      </c>
      <c r="K6" s="177">
        <v>21.3</v>
      </c>
      <c r="L6" s="220"/>
      <c r="M6" s="219"/>
      <c r="O6" s="246"/>
      <c r="P6" s="246"/>
      <c r="Q6" s="246"/>
      <c r="R6" s="246"/>
      <c r="S6" s="246"/>
      <c r="T6" s="246"/>
      <c r="U6" s="246"/>
      <c r="V6" s="246"/>
      <c r="W6" s="246"/>
      <c r="X6" s="246"/>
      <c r="Y6" s="246"/>
      <c r="Z6" s="246"/>
      <c r="AA6" s="246"/>
      <c r="AC6" s="257"/>
    </row>
    <row r="7" spans="1:29" x14ac:dyDescent="0.25">
      <c r="A7" s="174" t="s">
        <v>244</v>
      </c>
      <c r="B7" s="177">
        <v>92</v>
      </c>
      <c r="C7" s="177">
        <v>89.5</v>
      </c>
      <c r="D7" s="177">
        <v>79.599999999999994</v>
      </c>
      <c r="E7" s="177">
        <v>61.7</v>
      </c>
      <c r="F7" s="177">
        <v>59.4</v>
      </c>
      <c r="G7" s="177">
        <v>65.599999999999994</v>
      </c>
      <c r="H7" s="177">
        <v>41.2</v>
      </c>
      <c r="I7" s="177">
        <v>35</v>
      </c>
      <c r="J7" s="177">
        <v>22.7</v>
      </c>
      <c r="K7" s="177">
        <v>24.4</v>
      </c>
      <c r="L7" s="220"/>
      <c r="M7" s="219"/>
      <c r="O7" s="246"/>
      <c r="P7" s="246"/>
      <c r="Q7" s="246"/>
      <c r="R7" s="246"/>
      <c r="S7" s="246"/>
      <c r="T7" s="246"/>
      <c r="U7" s="246"/>
      <c r="V7" s="246"/>
      <c r="W7" s="246"/>
      <c r="X7" s="246"/>
      <c r="Y7" s="246"/>
      <c r="Z7" s="246"/>
      <c r="AA7" s="246"/>
      <c r="AC7" s="257"/>
    </row>
    <row r="8" spans="1:29" x14ac:dyDescent="0.25">
      <c r="A8" s="174" t="s">
        <v>245</v>
      </c>
      <c r="B8" s="177">
        <v>93.2</v>
      </c>
      <c r="C8" s="177">
        <v>83.5</v>
      </c>
      <c r="D8" s="177">
        <v>86.7</v>
      </c>
      <c r="E8" s="177">
        <v>64.2</v>
      </c>
      <c r="F8" s="177">
        <v>65</v>
      </c>
      <c r="G8" s="177">
        <v>37.700000000000003</v>
      </c>
      <c r="H8" s="177">
        <v>56.2</v>
      </c>
      <c r="I8" s="177">
        <v>44.7</v>
      </c>
      <c r="J8" s="177">
        <v>31.8</v>
      </c>
      <c r="K8" s="177">
        <v>19</v>
      </c>
      <c r="L8" s="220"/>
      <c r="M8" s="219"/>
      <c r="AC8" s="257"/>
    </row>
    <row r="9" spans="1:29" x14ac:dyDescent="0.25">
      <c r="A9" s="174" t="s">
        <v>246</v>
      </c>
      <c r="B9" s="177">
        <v>93.9</v>
      </c>
      <c r="C9" s="177">
        <v>86.7</v>
      </c>
      <c r="D9" s="177">
        <v>85.1</v>
      </c>
      <c r="E9" s="177">
        <v>66.2</v>
      </c>
      <c r="F9" s="177">
        <v>67.5</v>
      </c>
      <c r="G9" s="177">
        <v>50.2</v>
      </c>
      <c r="H9" s="177">
        <v>53.1</v>
      </c>
      <c r="I9" s="177">
        <v>43.3</v>
      </c>
      <c r="J9" s="177">
        <v>31.6</v>
      </c>
      <c r="K9" s="177">
        <v>21.6</v>
      </c>
      <c r="L9" s="220"/>
      <c r="M9" s="219"/>
      <c r="AC9" s="257"/>
    </row>
    <row r="10" spans="1:29" x14ac:dyDescent="0.25">
      <c r="A10" s="174" t="s">
        <v>247</v>
      </c>
      <c r="B10" s="177">
        <v>88.2</v>
      </c>
      <c r="C10" s="177">
        <v>84.1</v>
      </c>
      <c r="D10" s="177">
        <v>78.5</v>
      </c>
      <c r="E10" s="177">
        <v>52.4</v>
      </c>
      <c r="F10" s="177">
        <v>45.5</v>
      </c>
      <c r="G10" s="177">
        <v>48.3</v>
      </c>
      <c r="H10" s="177">
        <v>37.6</v>
      </c>
      <c r="I10" s="177">
        <v>30.6</v>
      </c>
      <c r="J10" s="177">
        <v>14.6</v>
      </c>
      <c r="K10" s="177">
        <v>20.2</v>
      </c>
      <c r="L10" s="220"/>
      <c r="M10" s="219"/>
      <c r="AC10" s="257"/>
    </row>
    <row r="11" spans="1:29" x14ac:dyDescent="0.25">
      <c r="A11" s="174" t="s">
        <v>248</v>
      </c>
      <c r="B11" s="177">
        <v>77.2</v>
      </c>
      <c r="C11" s="177">
        <v>90.3</v>
      </c>
      <c r="D11" s="177">
        <v>71.2</v>
      </c>
      <c r="E11" s="177">
        <v>46.3</v>
      </c>
      <c r="F11" s="177">
        <v>40.700000000000003</v>
      </c>
      <c r="G11" s="177">
        <v>91.2</v>
      </c>
      <c r="H11" s="177">
        <v>0.2</v>
      </c>
      <c r="I11" s="177">
        <v>4</v>
      </c>
      <c r="J11" s="177">
        <v>1.9</v>
      </c>
      <c r="K11" s="177">
        <v>78.8</v>
      </c>
      <c r="L11" s="220"/>
      <c r="M11" s="219"/>
      <c r="AC11" s="257"/>
    </row>
    <row r="12" spans="1:29" x14ac:dyDescent="0.25">
      <c r="A12" s="174" t="s">
        <v>249</v>
      </c>
      <c r="B12" s="177">
        <v>97.1</v>
      </c>
      <c r="C12" s="177">
        <v>97.8</v>
      </c>
      <c r="D12" s="177">
        <v>98.2</v>
      </c>
      <c r="E12" s="177">
        <v>76.8</v>
      </c>
      <c r="F12" s="177">
        <v>79.8</v>
      </c>
      <c r="G12" s="177">
        <v>78.2</v>
      </c>
      <c r="H12" s="177">
        <v>46.7</v>
      </c>
      <c r="I12" s="177">
        <v>53.2</v>
      </c>
      <c r="J12" s="177">
        <v>22.2</v>
      </c>
      <c r="K12" s="177">
        <v>72</v>
      </c>
      <c r="L12" s="220"/>
      <c r="M12" s="219"/>
      <c r="AC12" s="257"/>
    </row>
    <row r="13" spans="1:29" x14ac:dyDescent="0.25">
      <c r="A13" s="174" t="s">
        <v>250</v>
      </c>
      <c r="B13" s="177">
        <v>96.6</v>
      </c>
      <c r="C13" s="177">
        <v>88.3</v>
      </c>
      <c r="D13" s="177">
        <v>89.1</v>
      </c>
      <c r="E13" s="177">
        <v>67.400000000000006</v>
      </c>
      <c r="F13" s="177">
        <v>69.400000000000006</v>
      </c>
      <c r="G13" s="177">
        <v>42.6</v>
      </c>
      <c r="H13" s="177">
        <v>68.400000000000006</v>
      </c>
      <c r="I13" s="177">
        <v>54.7</v>
      </c>
      <c r="J13" s="177">
        <v>39.1</v>
      </c>
      <c r="K13" s="177">
        <v>4.8</v>
      </c>
      <c r="L13" s="220"/>
      <c r="M13" s="219"/>
      <c r="AC13" s="257"/>
    </row>
    <row r="14" spans="1:29" x14ac:dyDescent="0.25">
      <c r="A14" s="174" t="s">
        <v>251</v>
      </c>
      <c r="B14" s="177">
        <v>92.6</v>
      </c>
      <c r="C14" s="177">
        <v>76.599999999999994</v>
      </c>
      <c r="D14" s="177">
        <v>74</v>
      </c>
      <c r="E14" s="177">
        <v>59.9</v>
      </c>
      <c r="F14" s="177">
        <v>54.7</v>
      </c>
      <c r="G14" s="177">
        <v>30.1</v>
      </c>
      <c r="H14" s="177">
        <v>42.4</v>
      </c>
      <c r="I14" s="177">
        <v>26.4</v>
      </c>
      <c r="J14" s="177">
        <v>21.9</v>
      </c>
      <c r="K14" s="177">
        <v>1.1000000000000001</v>
      </c>
      <c r="L14" s="220"/>
      <c r="M14" s="219"/>
      <c r="AC14" s="257"/>
    </row>
    <row r="15" spans="1:29" x14ac:dyDescent="0.25">
      <c r="A15" s="174" t="s">
        <v>252</v>
      </c>
      <c r="B15" s="177">
        <v>87.8</v>
      </c>
      <c r="C15" s="177">
        <v>63.6</v>
      </c>
      <c r="D15" s="177">
        <v>68</v>
      </c>
      <c r="E15" s="177">
        <v>52.8</v>
      </c>
      <c r="F15" s="177">
        <v>48.8</v>
      </c>
      <c r="G15" s="177">
        <v>21.8</v>
      </c>
      <c r="H15" s="177">
        <v>29.1</v>
      </c>
      <c r="I15" s="177">
        <v>20.8</v>
      </c>
      <c r="J15" s="177">
        <v>16.7</v>
      </c>
      <c r="K15" s="177">
        <v>1</v>
      </c>
      <c r="L15" s="220"/>
      <c r="M15" s="219"/>
      <c r="AC15" s="257"/>
    </row>
    <row r="16" spans="1:29" x14ac:dyDescent="0.25">
      <c r="A16" s="174" t="s">
        <v>253</v>
      </c>
      <c r="B16" s="177">
        <v>98.5</v>
      </c>
      <c r="C16" s="177">
        <v>87.2</v>
      </c>
      <c r="D16" s="177">
        <v>88.9</v>
      </c>
      <c r="E16" s="177">
        <v>76.5</v>
      </c>
      <c r="F16" s="177">
        <v>79.599999999999994</v>
      </c>
      <c r="G16" s="177">
        <v>36.1</v>
      </c>
      <c r="H16" s="177">
        <v>78.8</v>
      </c>
      <c r="I16" s="177">
        <v>65.3</v>
      </c>
      <c r="J16" s="177">
        <v>51.4</v>
      </c>
      <c r="K16" s="177">
        <v>7.3</v>
      </c>
      <c r="L16" s="220"/>
      <c r="M16" s="219"/>
      <c r="AC16" s="257"/>
    </row>
    <row r="17" spans="1:29" x14ac:dyDescent="0.25">
      <c r="A17" s="174" t="s">
        <v>254</v>
      </c>
      <c r="B17" s="177">
        <v>94.2</v>
      </c>
      <c r="C17" s="177">
        <v>82.3</v>
      </c>
      <c r="D17" s="177">
        <v>83.5</v>
      </c>
      <c r="E17" s="177">
        <v>60.3</v>
      </c>
      <c r="F17" s="177">
        <v>59.1</v>
      </c>
      <c r="G17" s="177">
        <v>39.700000000000003</v>
      </c>
      <c r="H17" s="177">
        <v>54.8</v>
      </c>
      <c r="I17" s="177">
        <v>41.1</v>
      </c>
      <c r="J17" s="177">
        <v>26.2</v>
      </c>
      <c r="K17" s="177">
        <v>3.9</v>
      </c>
      <c r="L17" s="220"/>
      <c r="M17" s="219"/>
      <c r="AC17" s="257"/>
    </row>
    <row r="18" spans="1:29" x14ac:dyDescent="0.25">
      <c r="A18" s="174" t="s">
        <v>255</v>
      </c>
      <c r="B18" s="177">
        <v>92.8</v>
      </c>
      <c r="C18" s="177">
        <v>85.7</v>
      </c>
      <c r="D18" s="177">
        <v>82.4</v>
      </c>
      <c r="E18" s="177">
        <v>55.2</v>
      </c>
      <c r="F18" s="177">
        <v>58.3</v>
      </c>
      <c r="G18" s="177">
        <v>49.1</v>
      </c>
      <c r="H18" s="177">
        <v>44.5</v>
      </c>
      <c r="I18" s="177">
        <v>31.7</v>
      </c>
      <c r="J18" s="177">
        <v>20.2</v>
      </c>
      <c r="K18" s="177">
        <v>4.5</v>
      </c>
      <c r="L18" s="220"/>
      <c r="M18" s="219"/>
      <c r="AC18" s="257"/>
    </row>
    <row r="19" spans="1:29" x14ac:dyDescent="0.25">
      <c r="A19" s="174" t="s">
        <v>256</v>
      </c>
      <c r="B19" s="177">
        <v>93.1</v>
      </c>
      <c r="C19" s="177">
        <v>85.6</v>
      </c>
      <c r="D19" s="177">
        <v>84.5</v>
      </c>
      <c r="E19" s="177">
        <v>64.2</v>
      </c>
      <c r="F19" s="177">
        <v>59.3</v>
      </c>
      <c r="G19" s="177">
        <v>49.9</v>
      </c>
      <c r="H19" s="177">
        <v>42.4</v>
      </c>
      <c r="I19" s="177">
        <v>35</v>
      </c>
      <c r="J19" s="177">
        <v>20.8</v>
      </c>
      <c r="K19" s="177">
        <v>26.1</v>
      </c>
      <c r="L19" s="220"/>
      <c r="M19" s="219"/>
      <c r="AC19" s="257"/>
    </row>
    <row r="20" spans="1:29" x14ac:dyDescent="0.25">
      <c r="A20" s="174" t="s">
        <v>257</v>
      </c>
      <c r="B20" s="177">
        <v>94.5</v>
      </c>
      <c r="C20" s="177">
        <v>96.6</v>
      </c>
      <c r="D20" s="177">
        <v>95.7</v>
      </c>
      <c r="E20" s="177">
        <v>71.8</v>
      </c>
      <c r="F20" s="177">
        <v>72</v>
      </c>
      <c r="G20" s="177">
        <v>81</v>
      </c>
      <c r="H20" s="177">
        <v>17</v>
      </c>
      <c r="I20" s="177">
        <v>32</v>
      </c>
      <c r="J20" s="177">
        <v>10.6</v>
      </c>
      <c r="K20" s="177">
        <v>83.2</v>
      </c>
      <c r="L20" s="220"/>
      <c r="M20" s="219"/>
      <c r="AC20" s="257"/>
    </row>
    <row r="21" spans="1:29" x14ac:dyDescent="0.25">
      <c r="A21" s="174" t="s">
        <v>56</v>
      </c>
      <c r="B21" s="177">
        <v>90.3</v>
      </c>
      <c r="C21" s="177">
        <v>84.1</v>
      </c>
      <c r="D21" s="177">
        <v>83.1</v>
      </c>
      <c r="E21" s="177">
        <v>59</v>
      </c>
      <c r="F21" s="177">
        <v>39.9</v>
      </c>
      <c r="G21" s="177">
        <v>45.4</v>
      </c>
      <c r="H21" s="177">
        <v>45.9</v>
      </c>
      <c r="I21" s="177">
        <v>29.9</v>
      </c>
      <c r="J21" s="177">
        <v>27.4</v>
      </c>
      <c r="K21" s="177">
        <v>20.3</v>
      </c>
      <c r="L21" s="220"/>
      <c r="M21" s="219"/>
      <c r="AC21" s="257"/>
    </row>
    <row r="22" spans="1:29" x14ac:dyDescent="0.25">
      <c r="A22" s="174" t="s">
        <v>57</v>
      </c>
      <c r="B22" s="177">
        <v>94</v>
      </c>
      <c r="C22" s="177">
        <v>83.9</v>
      </c>
      <c r="D22" s="177">
        <v>81.3</v>
      </c>
      <c r="E22" s="177">
        <v>62</v>
      </c>
      <c r="F22" s="177">
        <v>68.3</v>
      </c>
      <c r="G22" s="177">
        <v>47.3</v>
      </c>
      <c r="H22" s="177">
        <v>47</v>
      </c>
      <c r="I22" s="177">
        <v>37.799999999999997</v>
      </c>
      <c r="J22" s="177">
        <v>21.2</v>
      </c>
      <c r="K22" s="177">
        <v>17.100000000000001</v>
      </c>
      <c r="L22" s="220"/>
      <c r="M22" s="219"/>
      <c r="AC22" s="257"/>
    </row>
    <row r="23" spans="1:29" x14ac:dyDescent="0.25">
      <c r="A23" s="174" t="s">
        <v>58</v>
      </c>
      <c r="B23" s="177">
        <v>93.4</v>
      </c>
      <c r="C23" s="177">
        <v>92.3</v>
      </c>
      <c r="D23" s="177">
        <v>84.4</v>
      </c>
      <c r="E23" s="177">
        <v>62.1</v>
      </c>
      <c r="F23" s="177">
        <v>74.8</v>
      </c>
      <c r="G23" s="177">
        <v>54.8</v>
      </c>
      <c r="H23" s="177">
        <v>48.5</v>
      </c>
      <c r="I23" s="177">
        <v>40.700000000000003</v>
      </c>
      <c r="J23" s="177">
        <v>27.9</v>
      </c>
      <c r="K23" s="177">
        <v>20.6</v>
      </c>
      <c r="L23" s="220"/>
      <c r="M23" s="219"/>
      <c r="AC23" s="257"/>
    </row>
    <row r="24" spans="1:29" x14ac:dyDescent="0.25">
      <c r="A24" s="174" t="s">
        <v>59</v>
      </c>
      <c r="B24" s="177">
        <v>92.1</v>
      </c>
      <c r="C24" s="177">
        <v>80.599999999999994</v>
      </c>
      <c r="D24" s="177">
        <v>83.8</v>
      </c>
      <c r="E24" s="177">
        <v>58.3</v>
      </c>
      <c r="F24" s="177">
        <v>60.5</v>
      </c>
      <c r="G24" s="177">
        <v>47.6</v>
      </c>
      <c r="H24" s="177">
        <v>47.6</v>
      </c>
      <c r="I24" s="177">
        <v>34.1</v>
      </c>
      <c r="J24" s="177">
        <v>23.1</v>
      </c>
      <c r="K24" s="177">
        <v>23.7</v>
      </c>
      <c r="L24" s="220"/>
      <c r="M24" s="219"/>
      <c r="AC24" s="257"/>
    </row>
    <row r="25" spans="1:29" x14ac:dyDescent="0.25">
      <c r="A25" s="174" t="s">
        <v>60</v>
      </c>
      <c r="B25" s="177">
        <v>96</v>
      </c>
      <c r="C25" s="177">
        <v>85.8</v>
      </c>
      <c r="D25" s="177">
        <v>87.5</v>
      </c>
      <c r="E25" s="177">
        <v>72.3</v>
      </c>
      <c r="F25" s="177">
        <v>77.2</v>
      </c>
      <c r="G25" s="177">
        <v>48.8</v>
      </c>
      <c r="H25" s="177">
        <v>60.2</v>
      </c>
      <c r="I25" s="177">
        <v>58.3</v>
      </c>
      <c r="J25" s="177">
        <v>41.3</v>
      </c>
      <c r="K25" s="177">
        <v>23.6</v>
      </c>
      <c r="L25" s="220"/>
      <c r="M25" s="219"/>
      <c r="AC25" s="257"/>
    </row>
    <row r="26" spans="1:29" x14ac:dyDescent="0.25">
      <c r="A26" s="174" t="s">
        <v>61</v>
      </c>
      <c r="B26" s="177">
        <v>88.5</v>
      </c>
      <c r="C26" s="177">
        <v>84.9</v>
      </c>
      <c r="D26" s="177">
        <v>78</v>
      </c>
      <c r="E26" s="177">
        <v>59.5</v>
      </c>
      <c r="F26" s="177">
        <v>42.2</v>
      </c>
      <c r="G26" s="177">
        <v>48.4</v>
      </c>
      <c r="H26" s="177">
        <v>43.4</v>
      </c>
      <c r="I26" s="177">
        <v>35.6</v>
      </c>
      <c r="J26" s="177">
        <v>16.399999999999999</v>
      </c>
      <c r="K26" s="177">
        <v>21.2</v>
      </c>
      <c r="L26" s="220"/>
      <c r="M26" s="219"/>
      <c r="AC26" s="257"/>
    </row>
    <row r="27" spans="1:29" x14ac:dyDescent="0.25">
      <c r="A27" s="174" t="s">
        <v>62</v>
      </c>
      <c r="B27" s="177">
        <v>92.2</v>
      </c>
      <c r="C27" s="177">
        <v>90.3</v>
      </c>
      <c r="D27" s="177">
        <v>85.4</v>
      </c>
      <c r="E27" s="177">
        <v>63.5</v>
      </c>
      <c r="F27" s="177">
        <v>67.3</v>
      </c>
      <c r="G27" s="177">
        <v>57.2</v>
      </c>
      <c r="H27" s="177">
        <v>49.2</v>
      </c>
      <c r="I27" s="177">
        <v>35.299999999999997</v>
      </c>
      <c r="J27" s="177">
        <v>29.6</v>
      </c>
      <c r="K27" s="177">
        <v>21.7</v>
      </c>
      <c r="L27" s="220"/>
      <c r="M27" s="219"/>
      <c r="AC27" s="257"/>
    </row>
    <row r="28" spans="1:29" x14ac:dyDescent="0.25">
      <c r="M28" s="219"/>
      <c r="AC28" s="257"/>
    </row>
    <row r="29" spans="1:29" ht="6" customHeight="1" x14ac:dyDescent="0.25">
      <c r="A29" s="247"/>
      <c r="B29" s="247"/>
      <c r="C29" s="247"/>
      <c r="D29" s="247"/>
      <c r="E29" s="247"/>
      <c r="F29" s="247"/>
      <c r="G29" s="247"/>
      <c r="H29" s="247"/>
      <c r="I29" s="247"/>
      <c r="J29" s="247"/>
      <c r="K29" s="247"/>
      <c r="L29" s="247"/>
      <c r="M29" s="219"/>
      <c r="AC29" s="257"/>
    </row>
    <row r="30" spans="1:29" ht="34.5" customHeight="1" x14ac:dyDescent="0.25">
      <c r="M30" s="219"/>
      <c r="AC30" s="257"/>
    </row>
    <row r="31" spans="1:29" ht="6" customHeight="1" x14ac:dyDescent="0.25">
      <c r="M31" s="219"/>
      <c r="N31" s="300"/>
      <c r="O31" s="238"/>
      <c r="P31" s="238"/>
      <c r="Q31" s="238"/>
      <c r="R31" s="238"/>
      <c r="S31" s="238"/>
      <c r="T31" s="238"/>
      <c r="U31" s="238"/>
      <c r="V31" s="238"/>
      <c r="W31" s="238"/>
      <c r="X31" s="238"/>
      <c r="Y31" s="238"/>
      <c r="Z31" s="238"/>
      <c r="AA31" s="238"/>
      <c r="AB31" s="238"/>
      <c r="AC31" s="257"/>
    </row>
  </sheetData>
  <mergeCells count="6">
    <mergeCell ref="A2:K2"/>
    <mergeCell ref="O5:AA7"/>
    <mergeCell ref="O2:AA4"/>
    <mergeCell ref="N31:AB31"/>
    <mergeCell ref="AC4:AC31"/>
    <mergeCell ref="A29:L29"/>
  </mergeCells>
  <pageMargins left="0.75" right="0.75" top="1" bottom="1" header="0.5" footer="0.5"/>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4" tint="0.59999389629810485"/>
  </sheetPr>
  <dimension ref="A1:AI22"/>
  <sheetViews>
    <sheetView showGridLines="0" zoomScale="70" zoomScaleNormal="70" workbookViewId="0">
      <selection activeCell="AJ7" sqref="AJ7"/>
    </sheetView>
  </sheetViews>
  <sheetFormatPr defaultRowHeight="15" x14ac:dyDescent="0.25"/>
  <cols>
    <col min="1" max="1" width="36" customWidth="1"/>
    <col min="2" max="2" width="11.140625" customWidth="1"/>
    <col min="4" max="4" width="13.140625" customWidth="1"/>
    <col min="5" max="5" width="11.5703125" customWidth="1"/>
    <col min="6" max="6" width="13" customWidth="1"/>
    <col min="7" max="7" width="12" customWidth="1"/>
    <col min="8" max="8" width="11.85546875" customWidth="1"/>
    <col min="9" max="9" width="11.42578125" customWidth="1"/>
    <col min="10" max="12" width="10.7109375" customWidth="1"/>
    <col min="13" max="13" width="10.5703125" customWidth="1"/>
    <col min="16" max="16" width="4.28515625" style="217" customWidth="1"/>
    <col min="17" max="17" width="1.7109375" customWidth="1"/>
    <col min="32" max="33" width="9.140625" style="217"/>
    <col min="35" max="35" width="1.7109375" customWidth="1"/>
  </cols>
  <sheetData>
    <row r="1" spans="1:35" ht="39.75" customHeight="1" thickBot="1" x14ac:dyDescent="0.3">
      <c r="A1" s="301" t="s">
        <v>259</v>
      </c>
      <c r="B1" s="302"/>
      <c r="C1" s="302"/>
      <c r="D1" s="302"/>
      <c r="E1" s="302"/>
      <c r="F1" s="302"/>
      <c r="G1" s="302"/>
      <c r="H1" s="302"/>
      <c r="I1" s="302"/>
      <c r="J1" s="302"/>
      <c r="K1" s="302"/>
      <c r="L1" s="302"/>
      <c r="M1" s="302"/>
      <c r="N1" s="302"/>
      <c r="O1" s="302"/>
      <c r="P1" s="222"/>
      <c r="Q1" s="237"/>
      <c r="AI1" s="237"/>
    </row>
    <row r="2" spans="1:35" ht="16.149999999999999" customHeight="1" thickBot="1" x14ac:dyDescent="0.3">
      <c r="A2" s="70"/>
      <c r="B2" s="165">
        <v>2011</v>
      </c>
      <c r="C2" s="165">
        <v>2012</v>
      </c>
      <c r="D2" s="165">
        <v>2013</v>
      </c>
      <c r="E2" s="165">
        <v>2014</v>
      </c>
      <c r="F2" s="165">
        <v>2015</v>
      </c>
      <c r="G2" s="166">
        <v>2016</v>
      </c>
      <c r="H2" s="165">
        <v>2017</v>
      </c>
      <c r="I2" s="167">
        <v>2018</v>
      </c>
      <c r="J2" s="156">
        <v>2019</v>
      </c>
      <c r="K2" s="156">
        <v>2020</v>
      </c>
      <c r="L2" s="156">
        <v>2021</v>
      </c>
      <c r="M2" s="156">
        <v>2022</v>
      </c>
      <c r="N2" s="156">
        <v>2023</v>
      </c>
      <c r="O2" s="156">
        <v>2024</v>
      </c>
      <c r="P2" s="223"/>
      <c r="Q2" s="238"/>
      <c r="R2" s="245"/>
      <c r="S2" s="245"/>
      <c r="T2" s="245"/>
      <c r="U2" s="245"/>
      <c r="V2" s="245"/>
      <c r="W2" s="245"/>
      <c r="X2" s="245"/>
      <c r="Y2" s="245"/>
      <c r="Z2" s="245"/>
      <c r="AA2" s="245"/>
      <c r="AB2" s="245"/>
      <c r="AC2" s="245"/>
      <c r="AD2" s="245"/>
      <c r="AE2" s="245"/>
      <c r="AF2" s="299"/>
      <c r="AG2" s="299"/>
      <c r="AH2" s="245"/>
      <c r="AI2" s="238"/>
    </row>
    <row r="3" spans="1:35" ht="81" customHeight="1" x14ac:dyDescent="0.35">
      <c r="A3" s="71" t="s">
        <v>260</v>
      </c>
      <c r="B3" s="72">
        <v>7528.3</v>
      </c>
      <c r="C3" s="72">
        <v>9218.2999999999993</v>
      </c>
      <c r="D3" s="72">
        <v>10320.299999999999</v>
      </c>
      <c r="E3" s="72">
        <v>10526.8</v>
      </c>
      <c r="F3" s="73">
        <v>11149.3</v>
      </c>
      <c r="G3" s="74">
        <v>12109</v>
      </c>
      <c r="H3" s="72">
        <v>12773.9</v>
      </c>
      <c r="I3" s="153">
        <v>13573.1</v>
      </c>
      <c r="J3" s="152">
        <v>13710.4</v>
      </c>
      <c r="K3" s="152">
        <v>13943.8</v>
      </c>
      <c r="L3" s="152">
        <v>14023.9</v>
      </c>
      <c r="M3" s="152">
        <v>14073.5</v>
      </c>
      <c r="N3" s="152">
        <v>14256</v>
      </c>
      <c r="O3" s="152">
        <v>14525.9</v>
      </c>
      <c r="P3" s="224"/>
      <c r="Q3" s="238"/>
      <c r="S3" s="304" t="s">
        <v>24</v>
      </c>
      <c r="T3" s="304"/>
      <c r="U3" s="304"/>
      <c r="V3" s="304"/>
      <c r="W3" s="304"/>
      <c r="X3" s="304"/>
      <c r="Y3" s="304"/>
      <c r="Z3" s="304"/>
      <c r="AA3" s="304"/>
      <c r="AB3" s="304"/>
      <c r="AC3" s="304"/>
      <c r="AD3" s="304"/>
      <c r="AE3" s="304"/>
      <c r="AF3" s="304"/>
      <c r="AG3" s="304"/>
      <c r="AI3" s="238"/>
    </row>
    <row r="4" spans="1:35" ht="46.9" customHeight="1" x14ac:dyDescent="0.25">
      <c r="A4" s="75" t="s">
        <v>261</v>
      </c>
      <c r="B4" s="76">
        <v>723.5</v>
      </c>
      <c r="C4" s="76">
        <v>857.8</v>
      </c>
      <c r="D4" s="76">
        <v>887.2</v>
      </c>
      <c r="E4" s="76">
        <v>836</v>
      </c>
      <c r="F4" s="77">
        <v>849.2</v>
      </c>
      <c r="G4" s="78">
        <v>1025.0999999999999</v>
      </c>
      <c r="H4" s="76">
        <v>974.7</v>
      </c>
      <c r="I4" s="154">
        <v>781.2</v>
      </c>
      <c r="J4" s="103">
        <v>656.5</v>
      </c>
      <c r="K4" s="103">
        <v>783.7</v>
      </c>
      <c r="L4" s="103">
        <v>576.4</v>
      </c>
      <c r="M4" s="103">
        <v>437.3</v>
      </c>
      <c r="N4" s="103">
        <v>429.9</v>
      </c>
      <c r="O4" s="103">
        <v>413.2</v>
      </c>
      <c r="P4" s="225"/>
      <c r="Q4" s="238"/>
      <c r="S4" s="246" t="s">
        <v>271</v>
      </c>
      <c r="T4" s="246"/>
      <c r="U4" s="246"/>
      <c r="V4" s="246"/>
      <c r="W4" s="246"/>
      <c r="X4" s="246"/>
      <c r="Y4" s="246"/>
      <c r="Z4" s="246"/>
      <c r="AA4" s="246"/>
      <c r="AB4" s="246"/>
      <c r="AC4" s="246"/>
      <c r="AD4" s="246"/>
      <c r="AE4" s="246"/>
      <c r="AF4" s="246"/>
      <c r="AG4" s="246"/>
      <c r="AI4" s="238"/>
    </row>
    <row r="5" spans="1:35" ht="31.9" customHeight="1" x14ac:dyDescent="0.25">
      <c r="A5" s="75" t="s">
        <v>262</v>
      </c>
      <c r="B5" s="79">
        <v>6804.8</v>
      </c>
      <c r="C5" s="79">
        <v>8360.5</v>
      </c>
      <c r="D5" s="79">
        <v>9433.1</v>
      </c>
      <c r="E5" s="79">
        <v>9690.7999999999993</v>
      </c>
      <c r="F5" s="80">
        <v>10300.1</v>
      </c>
      <c r="G5" s="78">
        <v>11083.8</v>
      </c>
      <c r="H5" s="79">
        <v>11799.2</v>
      </c>
      <c r="I5" s="155">
        <v>12792</v>
      </c>
      <c r="J5" s="152">
        <v>13053.9</v>
      </c>
      <c r="K5" s="152">
        <v>13160</v>
      </c>
      <c r="L5" s="152">
        <v>13447.5</v>
      </c>
      <c r="M5" s="152">
        <v>13636.2</v>
      </c>
      <c r="N5" s="152">
        <v>13826.1</v>
      </c>
      <c r="O5" s="152">
        <v>14112.7</v>
      </c>
      <c r="P5" s="224"/>
      <c r="Q5" s="238"/>
      <c r="S5" s="246"/>
      <c r="T5" s="246"/>
      <c r="U5" s="246"/>
      <c r="V5" s="246"/>
      <c r="W5" s="246"/>
      <c r="X5" s="246"/>
      <c r="Y5" s="246"/>
      <c r="Z5" s="246"/>
      <c r="AA5" s="246"/>
      <c r="AB5" s="246"/>
      <c r="AC5" s="246"/>
      <c r="AD5" s="246"/>
      <c r="AE5" s="246"/>
      <c r="AF5" s="246"/>
      <c r="AG5" s="246"/>
      <c r="AI5" s="238"/>
    </row>
    <row r="6" spans="1:35" ht="33.6" customHeight="1" x14ac:dyDescent="0.25">
      <c r="A6" s="75" t="s">
        <v>263</v>
      </c>
      <c r="B6" s="79">
        <v>6062.2</v>
      </c>
      <c r="C6" s="79">
        <v>7469.3</v>
      </c>
      <c r="D6" s="79">
        <v>8407</v>
      </c>
      <c r="E6" s="79">
        <v>8624.9</v>
      </c>
      <c r="F6" s="80">
        <v>9108</v>
      </c>
      <c r="G6" s="78">
        <v>9773.5</v>
      </c>
      <c r="H6" s="79">
        <v>10527.5</v>
      </c>
      <c r="I6" s="155">
        <v>11338.3</v>
      </c>
      <c r="J6" s="152">
        <v>11401.7</v>
      </c>
      <c r="K6" s="152">
        <v>11408.2</v>
      </c>
      <c r="L6" s="152">
        <v>11621.9</v>
      </c>
      <c r="M6" s="152">
        <v>11761.3</v>
      </c>
      <c r="N6" s="152">
        <v>11907</v>
      </c>
      <c r="O6" s="152">
        <v>12126.7</v>
      </c>
      <c r="P6" s="224"/>
      <c r="Q6" s="238"/>
      <c r="S6" s="217"/>
      <c r="T6" s="217"/>
      <c r="U6" s="217"/>
      <c r="V6" s="217"/>
      <c r="W6" s="217"/>
      <c r="X6" s="217"/>
      <c r="Y6" s="217"/>
      <c r="Z6" s="217"/>
      <c r="AA6" s="217"/>
      <c r="AB6" s="217"/>
      <c r="AC6" s="217"/>
      <c r="AD6" s="217"/>
      <c r="AE6" s="217"/>
      <c r="AI6" s="238"/>
    </row>
    <row r="7" spans="1:35" ht="30.6" customHeight="1" x14ac:dyDescent="0.25">
      <c r="A7" s="75" t="s">
        <v>264</v>
      </c>
      <c r="B7" s="76">
        <v>143</v>
      </c>
      <c r="C7" s="76">
        <v>88.2</v>
      </c>
      <c r="D7" s="76">
        <v>54.9</v>
      </c>
      <c r="E7" s="76">
        <v>32.299999999999997</v>
      </c>
      <c r="F7" s="80">
        <v>8.6999999999999993</v>
      </c>
      <c r="G7" s="81">
        <v>2.1</v>
      </c>
      <c r="H7" s="168" t="s">
        <v>74</v>
      </c>
      <c r="I7" s="169" t="s">
        <v>74</v>
      </c>
      <c r="J7" s="169" t="s">
        <v>74</v>
      </c>
      <c r="K7" s="169" t="s">
        <v>74</v>
      </c>
      <c r="L7" s="169" t="s">
        <v>74</v>
      </c>
      <c r="M7" s="169" t="s">
        <v>74</v>
      </c>
      <c r="Q7" s="238"/>
      <c r="AI7" s="238"/>
    </row>
    <row r="8" spans="1:35" ht="31.15" customHeight="1" x14ac:dyDescent="0.25">
      <c r="A8" s="75" t="s">
        <v>265</v>
      </c>
      <c r="B8" s="79">
        <v>2020</v>
      </c>
      <c r="C8" s="79">
        <v>2435.4</v>
      </c>
      <c r="D8" s="79">
        <v>2688.3</v>
      </c>
      <c r="E8" s="79">
        <v>2558.1999999999998</v>
      </c>
      <c r="F8" s="80">
        <v>2771.6</v>
      </c>
      <c r="G8" s="78">
        <v>2924.8</v>
      </c>
      <c r="H8" s="79">
        <v>3021.7</v>
      </c>
      <c r="I8" s="155">
        <v>3038.3</v>
      </c>
      <c r="J8" s="152">
        <v>3036.2</v>
      </c>
      <c r="K8" s="152">
        <v>3083.2</v>
      </c>
      <c r="L8" s="152">
        <v>3058.7</v>
      </c>
      <c r="M8" s="152">
        <v>2939.7</v>
      </c>
      <c r="N8" s="152">
        <v>3002.9</v>
      </c>
      <c r="O8" s="152">
        <v>3080.1</v>
      </c>
      <c r="P8" s="224"/>
      <c r="Q8" s="238"/>
      <c r="AI8" s="238"/>
    </row>
    <row r="9" spans="1:35" ht="43.5" customHeight="1" x14ac:dyDescent="0.25">
      <c r="A9" s="75" t="s">
        <v>266</v>
      </c>
      <c r="B9" s="79">
        <v>2018.6</v>
      </c>
      <c r="C9" s="79">
        <v>2434.8000000000002</v>
      </c>
      <c r="D9" s="79">
        <v>2670.3</v>
      </c>
      <c r="E9" s="79">
        <v>2553.4</v>
      </c>
      <c r="F9" s="80">
        <v>2764.4</v>
      </c>
      <c r="G9" s="78">
        <v>2924.8</v>
      </c>
      <c r="H9" s="79">
        <v>3012.4</v>
      </c>
      <c r="I9" s="155">
        <v>3038.2</v>
      </c>
      <c r="J9" s="152">
        <v>3035.9</v>
      </c>
      <c r="K9" s="152">
        <v>3073.3</v>
      </c>
      <c r="L9" s="152">
        <v>3050.2</v>
      </c>
      <c r="M9" s="152">
        <v>2931.9</v>
      </c>
      <c r="N9" s="152">
        <v>2995.4</v>
      </c>
      <c r="O9" s="152">
        <v>3071.1</v>
      </c>
      <c r="P9" s="224"/>
      <c r="Q9" s="238"/>
      <c r="AI9" s="238"/>
    </row>
    <row r="10" spans="1:35" ht="33.6" customHeight="1" x14ac:dyDescent="0.25">
      <c r="A10" s="75" t="s">
        <v>267</v>
      </c>
      <c r="B10" s="79">
        <v>3898.7</v>
      </c>
      <c r="C10" s="79">
        <v>4945.5</v>
      </c>
      <c r="D10" s="79">
        <v>5663.6</v>
      </c>
      <c r="E10" s="79">
        <v>6034.2</v>
      </c>
      <c r="F10" s="80">
        <v>6327.7</v>
      </c>
      <c r="G10" s="78">
        <v>6846.7</v>
      </c>
      <c r="H10" s="79">
        <v>7505.5</v>
      </c>
      <c r="I10" s="155">
        <v>8299.9</v>
      </c>
      <c r="J10" s="152">
        <v>8365.6</v>
      </c>
      <c r="K10" s="152">
        <v>8325.1</v>
      </c>
      <c r="L10" s="152">
        <v>8563.2000000000007</v>
      </c>
      <c r="M10" s="152">
        <v>8821.6</v>
      </c>
      <c r="N10" s="152">
        <v>8904.2000000000007</v>
      </c>
      <c r="O10" s="152">
        <v>9046.6</v>
      </c>
      <c r="P10" s="224"/>
      <c r="Q10" s="238"/>
      <c r="AI10" s="238"/>
    </row>
    <row r="11" spans="1:35" ht="47.25" customHeight="1" x14ac:dyDescent="0.25">
      <c r="A11" s="75" t="s">
        <v>268</v>
      </c>
      <c r="B11" s="79">
        <v>1597.2</v>
      </c>
      <c r="C11" s="79">
        <v>2807.7</v>
      </c>
      <c r="D11" s="79">
        <v>3816.8</v>
      </c>
      <c r="E11" s="79">
        <v>4543.5</v>
      </c>
      <c r="F11" s="80">
        <v>5039.3999999999996</v>
      </c>
      <c r="G11" s="78">
        <v>5614</v>
      </c>
      <c r="H11" s="79">
        <v>6428.5</v>
      </c>
      <c r="I11" s="155">
        <v>7339.1</v>
      </c>
      <c r="J11" s="152">
        <v>7543.5</v>
      </c>
      <c r="K11" s="152">
        <v>7674.4</v>
      </c>
      <c r="L11" s="152">
        <v>8011.4</v>
      </c>
      <c r="M11" s="152">
        <v>8234.9</v>
      </c>
      <c r="N11" s="152">
        <v>8335.2999999999993</v>
      </c>
      <c r="O11" s="152">
        <v>8547.1</v>
      </c>
      <c r="P11" s="224"/>
      <c r="Q11" s="238"/>
      <c r="AI11" s="238"/>
    </row>
    <row r="12" spans="1:35" ht="63" customHeight="1" x14ac:dyDescent="0.25">
      <c r="A12" s="75" t="s">
        <v>269</v>
      </c>
      <c r="B12" s="76">
        <v>742.6</v>
      </c>
      <c r="C12" s="76">
        <v>891.2</v>
      </c>
      <c r="D12" s="79">
        <v>1026.0999999999999</v>
      </c>
      <c r="E12" s="79">
        <v>1065.9000000000001</v>
      </c>
      <c r="F12" s="80">
        <v>1192.2</v>
      </c>
      <c r="G12" s="78">
        <v>1310.4000000000001</v>
      </c>
      <c r="H12" s="79">
        <v>1271.7</v>
      </c>
      <c r="I12" s="155">
        <v>1453.7</v>
      </c>
      <c r="J12" s="103">
        <v>1652.2</v>
      </c>
      <c r="K12" s="152">
        <v>1751.8</v>
      </c>
      <c r="L12" s="152">
        <v>1825.6</v>
      </c>
      <c r="M12" s="152">
        <v>1874.9</v>
      </c>
      <c r="N12" s="152">
        <v>1919.1</v>
      </c>
      <c r="O12" s="152">
        <v>1986</v>
      </c>
      <c r="P12" s="224"/>
      <c r="Q12" s="238"/>
      <c r="AI12" s="238"/>
    </row>
    <row r="13" spans="1:35" ht="33.6" customHeight="1" x14ac:dyDescent="0.25">
      <c r="A13" s="75" t="s">
        <v>264</v>
      </c>
      <c r="B13" s="76">
        <v>20.8</v>
      </c>
      <c r="C13" s="76">
        <v>14.9</v>
      </c>
      <c r="D13" s="76">
        <v>9.6999999999999993</v>
      </c>
      <c r="E13" s="76">
        <v>7.4</v>
      </c>
      <c r="F13" s="77">
        <v>2.5</v>
      </c>
      <c r="G13" s="81">
        <v>0.8</v>
      </c>
      <c r="H13" s="168" t="s">
        <v>74</v>
      </c>
      <c r="I13" s="169" t="s">
        <v>74</v>
      </c>
      <c r="J13" s="168" t="s">
        <v>74</v>
      </c>
      <c r="K13" s="169" t="s">
        <v>74</v>
      </c>
      <c r="L13" s="168" t="s">
        <v>74</v>
      </c>
      <c r="M13" s="168" t="s">
        <v>74</v>
      </c>
      <c r="Q13" s="238"/>
      <c r="AI13" s="238"/>
    </row>
    <row r="14" spans="1:35" ht="30" customHeight="1" x14ac:dyDescent="0.25">
      <c r="A14" s="75" t="s">
        <v>265</v>
      </c>
      <c r="B14" s="76">
        <v>78.8</v>
      </c>
      <c r="C14" s="76">
        <v>96.2</v>
      </c>
      <c r="D14" s="76">
        <v>116.8</v>
      </c>
      <c r="E14" s="76">
        <v>131.1</v>
      </c>
      <c r="F14" s="77">
        <v>138.5</v>
      </c>
      <c r="G14" s="81">
        <v>142.80000000000001</v>
      </c>
      <c r="H14" s="79">
        <v>151.4</v>
      </c>
      <c r="I14" s="155">
        <v>163.30000000000001</v>
      </c>
      <c r="J14" s="103">
        <v>179</v>
      </c>
      <c r="K14" s="103">
        <v>182.3</v>
      </c>
      <c r="L14" s="103">
        <v>188.8</v>
      </c>
      <c r="M14" s="103">
        <v>193.4</v>
      </c>
      <c r="N14" s="103">
        <v>203.5</v>
      </c>
      <c r="O14" s="103">
        <v>213.1</v>
      </c>
      <c r="P14" s="225"/>
      <c r="Q14" s="238"/>
      <c r="AI14" s="238"/>
    </row>
    <row r="15" spans="1:35" ht="42.75" customHeight="1" x14ac:dyDescent="0.25">
      <c r="A15" s="75" t="s">
        <v>266</v>
      </c>
      <c r="B15" s="76">
        <v>78.7</v>
      </c>
      <c r="C15" s="76">
        <v>96.1</v>
      </c>
      <c r="D15" s="76">
        <v>114.7</v>
      </c>
      <c r="E15" s="76">
        <v>130.1</v>
      </c>
      <c r="F15" s="77">
        <v>138.4</v>
      </c>
      <c r="G15" s="81">
        <v>142.80000000000001</v>
      </c>
      <c r="H15" s="79">
        <v>150.9</v>
      </c>
      <c r="I15" s="155">
        <v>163.30000000000001</v>
      </c>
      <c r="J15" s="103">
        <v>179</v>
      </c>
      <c r="K15" s="103">
        <v>182.3</v>
      </c>
      <c r="L15" s="103">
        <v>188.7</v>
      </c>
      <c r="M15" s="103">
        <v>193.2</v>
      </c>
      <c r="N15" s="103">
        <v>203.5</v>
      </c>
      <c r="O15" s="103">
        <v>213.1</v>
      </c>
      <c r="P15" s="225"/>
      <c r="Q15" s="238"/>
      <c r="AI15" s="238"/>
    </row>
    <row r="16" spans="1:35" ht="31.15" customHeight="1" x14ac:dyDescent="0.25">
      <c r="A16" s="75" t="s">
        <v>267</v>
      </c>
      <c r="B16" s="76">
        <v>639.1</v>
      </c>
      <c r="C16" s="76">
        <v>777.5</v>
      </c>
      <c r="D16" s="76">
        <v>897.4</v>
      </c>
      <c r="E16" s="76">
        <v>925.2</v>
      </c>
      <c r="F16" s="80">
        <v>1051.2</v>
      </c>
      <c r="G16" s="78">
        <v>1166.7</v>
      </c>
      <c r="H16" s="79">
        <v>1120.3</v>
      </c>
      <c r="I16" s="155">
        <v>1290.3</v>
      </c>
      <c r="J16" s="152">
        <v>1473.2</v>
      </c>
      <c r="K16" s="152">
        <v>1569.5</v>
      </c>
      <c r="L16" s="152">
        <v>1636.8</v>
      </c>
      <c r="M16" s="152">
        <v>1681.5</v>
      </c>
      <c r="N16" s="152">
        <v>1715.5</v>
      </c>
      <c r="O16" s="152">
        <v>1772.8</v>
      </c>
      <c r="P16" s="224"/>
      <c r="Q16" s="238"/>
      <c r="V16" s="303" t="s">
        <v>272</v>
      </c>
      <c r="W16" s="303"/>
      <c r="X16" s="303"/>
      <c r="Y16" s="303"/>
      <c r="Z16" s="303"/>
      <c r="AA16" s="303"/>
      <c r="AB16" s="303"/>
      <c r="AC16" s="303"/>
      <c r="AD16" s="303"/>
      <c r="AE16" s="303"/>
      <c r="AF16" s="303"/>
      <c r="AI16" s="238"/>
    </row>
    <row r="17" spans="1:35" ht="34.5" customHeight="1" x14ac:dyDescent="0.25">
      <c r="A17" s="75" t="s">
        <v>268</v>
      </c>
      <c r="B17" s="76">
        <v>209.5</v>
      </c>
      <c r="C17" s="76">
        <v>321.39999999999998</v>
      </c>
      <c r="D17" s="76">
        <v>481.8</v>
      </c>
      <c r="E17" s="76">
        <v>573.4</v>
      </c>
      <c r="F17" s="77">
        <v>685.7</v>
      </c>
      <c r="G17" s="81">
        <v>788.1</v>
      </c>
      <c r="H17" s="79">
        <v>789.1</v>
      </c>
      <c r="I17" s="155">
        <v>821.9</v>
      </c>
      <c r="J17" s="103">
        <v>913.7</v>
      </c>
      <c r="K17" s="103">
        <v>979.5</v>
      </c>
      <c r="L17" s="152">
        <v>1043.5</v>
      </c>
      <c r="M17" s="152">
        <v>1086.9000000000001</v>
      </c>
      <c r="N17" s="152">
        <v>1120.2</v>
      </c>
      <c r="O17" s="152">
        <v>1193.4000000000001</v>
      </c>
      <c r="P17" s="224"/>
      <c r="Q17" s="238"/>
      <c r="Y17" s="270" t="s">
        <v>34</v>
      </c>
      <c r="Z17" s="270"/>
      <c r="AA17" s="270"/>
      <c r="AB17" s="270"/>
      <c r="AC17" s="270"/>
      <c r="AD17" s="188">
        <f>O3-B3</f>
        <v>6997.5999999999995</v>
      </c>
      <c r="AI17" s="238"/>
    </row>
    <row r="18" spans="1:35" ht="45" customHeight="1" x14ac:dyDescent="0.25">
      <c r="A18" s="184" t="s">
        <v>270</v>
      </c>
      <c r="B18" s="37"/>
      <c r="C18" s="37"/>
      <c r="D18" s="37"/>
      <c r="E18" s="37"/>
      <c r="F18" s="37"/>
      <c r="G18" s="37"/>
      <c r="H18" s="37"/>
      <c r="I18" s="37"/>
      <c r="J18" s="221">
        <v>1551.2</v>
      </c>
      <c r="K18" s="221">
        <v>1933</v>
      </c>
      <c r="L18" s="221">
        <v>2230</v>
      </c>
      <c r="M18" s="221">
        <v>2770</v>
      </c>
      <c r="N18" s="221">
        <v>3630</v>
      </c>
      <c r="O18" s="221">
        <v>4220</v>
      </c>
      <c r="P18" s="226"/>
      <c r="Q18" s="238"/>
      <c r="Y18" s="270" t="s">
        <v>35</v>
      </c>
      <c r="Z18" s="270"/>
      <c r="AA18" s="270"/>
      <c r="AB18" s="270"/>
      <c r="AC18" s="270"/>
      <c r="AD18" s="189">
        <f>(O3/B3-1)*100</f>
        <v>92.950599736992402</v>
      </c>
      <c r="AI18" s="238"/>
    </row>
    <row r="19" spans="1:35" ht="28.5" customHeight="1" x14ac:dyDescent="0.25">
      <c r="Q19" s="238"/>
      <c r="Y19" s="270" t="s">
        <v>36</v>
      </c>
      <c r="Z19" s="270"/>
      <c r="AA19" s="270"/>
      <c r="AB19" s="270"/>
      <c r="AC19" s="270"/>
      <c r="AD19" s="189">
        <f>(O3/B3)^(1/13)*100</f>
        <v>105.18586792926467</v>
      </c>
      <c r="AI19" s="238"/>
    </row>
    <row r="20" spans="1:35" ht="16.5" customHeight="1" x14ac:dyDescent="0.25">
      <c r="A20" s="247"/>
      <c r="B20" s="247"/>
      <c r="C20" s="247"/>
      <c r="D20" s="247"/>
      <c r="E20" s="247"/>
      <c r="F20" s="247"/>
      <c r="G20" s="247"/>
      <c r="H20" s="247"/>
      <c r="I20" s="247"/>
      <c r="J20" s="247"/>
      <c r="K20" s="247"/>
      <c r="L20" s="247"/>
      <c r="M20" s="247"/>
      <c r="N20" s="247"/>
      <c r="O20" s="247"/>
      <c r="P20" s="215"/>
      <c r="Q20" s="238"/>
      <c r="Y20" s="270" t="s">
        <v>37</v>
      </c>
      <c r="Z20" s="270"/>
      <c r="AA20" s="270"/>
      <c r="AB20" s="270"/>
      <c r="AC20" s="270"/>
      <c r="AD20" s="189">
        <f>AD19-100</f>
        <v>5.1858679292646741</v>
      </c>
      <c r="AI20" s="238"/>
    </row>
    <row r="21" spans="1:35" ht="21" customHeight="1" x14ac:dyDescent="0.25">
      <c r="Q21" s="238"/>
      <c r="X21" s="238"/>
      <c r="Y21" s="238"/>
      <c r="Z21" s="238"/>
      <c r="AA21" s="238"/>
      <c r="AB21" s="238"/>
      <c r="AI21" s="238"/>
    </row>
    <row r="22" spans="1:35" ht="6" customHeight="1" x14ac:dyDescent="0.25">
      <c r="Q22" s="238"/>
      <c r="R22" s="237"/>
      <c r="S22" s="238"/>
      <c r="T22" s="238"/>
      <c r="U22" s="238"/>
      <c r="V22" s="238"/>
      <c r="W22" s="238"/>
      <c r="X22" s="238"/>
      <c r="Y22" s="238"/>
      <c r="Z22" s="238"/>
      <c r="AA22" s="238"/>
      <c r="AB22" s="238"/>
      <c r="AC22" s="238"/>
      <c r="AD22" s="238"/>
      <c r="AE22" s="238"/>
      <c r="AF22" s="305"/>
      <c r="AG22" s="305"/>
      <c r="AH22" s="238"/>
      <c r="AI22" s="238"/>
    </row>
  </sheetData>
  <mergeCells count="14">
    <mergeCell ref="AI1:AI22"/>
    <mergeCell ref="R2:AH2"/>
    <mergeCell ref="A1:O1"/>
    <mergeCell ref="S4:AG5"/>
    <mergeCell ref="Y17:AC17"/>
    <mergeCell ref="Y18:AC18"/>
    <mergeCell ref="Y19:AC19"/>
    <mergeCell ref="Y20:AC20"/>
    <mergeCell ref="X21:AB21"/>
    <mergeCell ref="V16:AF16"/>
    <mergeCell ref="A20:O20"/>
    <mergeCell ref="S3:AG3"/>
    <mergeCell ref="Q1:Q22"/>
    <mergeCell ref="R22:AH22"/>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4" tint="0.59999389629810485"/>
  </sheetPr>
  <dimension ref="A1:AG153"/>
  <sheetViews>
    <sheetView showGridLines="0" topLeftCell="C1" zoomScaleNormal="100" workbookViewId="0">
      <selection activeCell="M15" sqref="M15"/>
    </sheetView>
  </sheetViews>
  <sheetFormatPr defaultRowHeight="15" x14ac:dyDescent="0.25"/>
  <cols>
    <col min="1" max="1" width="36" customWidth="1"/>
    <col min="16" max="16" width="3" style="217" customWidth="1"/>
    <col min="17" max="17" width="1.7109375" customWidth="1"/>
    <col min="18" max="18" width="4.42578125" customWidth="1"/>
    <col min="31" max="31" width="9.140625" style="217"/>
    <col min="32" max="32" width="5.85546875" customWidth="1"/>
    <col min="33" max="33" width="1.7109375" customWidth="1"/>
  </cols>
  <sheetData>
    <row r="1" spans="1:33" s="217" customFormat="1" ht="36.75" customHeight="1" x14ac:dyDescent="0.25">
      <c r="Q1" s="299"/>
      <c r="S1" s="310" t="s">
        <v>24</v>
      </c>
      <c r="T1" s="310"/>
      <c r="U1" s="310"/>
      <c r="V1" s="310"/>
      <c r="W1" s="310"/>
      <c r="X1" s="310"/>
      <c r="Y1" s="310"/>
      <c r="Z1" s="310"/>
      <c r="AA1" s="310"/>
      <c r="AB1" s="310"/>
      <c r="AC1" s="310"/>
      <c r="AD1" s="310"/>
      <c r="AE1" s="310"/>
      <c r="AG1" s="299"/>
    </row>
    <row r="2" spans="1:33" s="217" customFormat="1" ht="9.75" customHeight="1" x14ac:dyDescent="0.25">
      <c r="A2" s="299"/>
      <c r="B2" s="299"/>
      <c r="C2" s="299"/>
      <c r="D2" s="299"/>
      <c r="E2" s="299"/>
      <c r="F2" s="299"/>
      <c r="G2" s="299"/>
      <c r="H2" s="299"/>
      <c r="I2" s="299"/>
      <c r="J2" s="299"/>
      <c r="K2" s="299"/>
      <c r="L2" s="299"/>
      <c r="M2" s="299"/>
      <c r="N2" s="299"/>
      <c r="O2" s="299"/>
      <c r="P2" s="218"/>
      <c r="Q2" s="299"/>
      <c r="S2" s="310"/>
      <c r="T2" s="310"/>
      <c r="U2" s="310"/>
      <c r="V2" s="310"/>
      <c r="W2" s="310"/>
      <c r="X2" s="310"/>
      <c r="Y2" s="310"/>
      <c r="Z2" s="310"/>
      <c r="AA2" s="310"/>
      <c r="AB2" s="310"/>
      <c r="AC2" s="310"/>
      <c r="AD2" s="310"/>
      <c r="AE2" s="310"/>
      <c r="AG2" s="299"/>
    </row>
    <row r="3" spans="1:33" s="217" customFormat="1" ht="15.75" customHeight="1" thickBot="1" x14ac:dyDescent="0.3">
      <c r="Q3" s="299"/>
      <c r="S3" s="309" t="s">
        <v>277</v>
      </c>
      <c r="T3" s="309"/>
      <c r="U3" s="309"/>
      <c r="V3" s="309"/>
      <c r="W3" s="309"/>
      <c r="X3" s="309"/>
      <c r="Y3" s="309"/>
      <c r="Z3" s="309"/>
      <c r="AA3" s="309"/>
      <c r="AB3" s="309"/>
      <c r="AC3" s="309"/>
      <c r="AD3" s="309"/>
      <c r="AE3" s="309"/>
      <c r="AG3" s="299"/>
    </row>
    <row r="4" spans="1:33" ht="15.75" thickBot="1" x14ac:dyDescent="0.3">
      <c r="A4" s="306" t="s">
        <v>273</v>
      </c>
      <c r="B4" s="307"/>
      <c r="C4" s="307"/>
      <c r="D4" s="307"/>
      <c r="E4" s="307"/>
      <c r="F4" s="307"/>
      <c r="G4" s="307"/>
      <c r="H4" s="307"/>
      <c r="I4" s="307"/>
      <c r="J4" s="307"/>
      <c r="K4" s="307"/>
      <c r="L4" s="307"/>
      <c r="M4" s="307"/>
      <c r="N4" s="307"/>
      <c r="O4" s="308"/>
      <c r="P4" s="229"/>
      <c r="Q4" s="299"/>
      <c r="S4" s="309"/>
      <c r="T4" s="309"/>
      <c r="U4" s="309"/>
      <c r="V4" s="309"/>
      <c r="W4" s="309"/>
      <c r="X4" s="309"/>
      <c r="Y4" s="309"/>
      <c r="Z4" s="309"/>
      <c r="AA4" s="309"/>
      <c r="AB4" s="309"/>
      <c r="AC4" s="309"/>
      <c r="AD4" s="309"/>
      <c r="AE4" s="309"/>
      <c r="AF4" s="217"/>
      <c r="AG4" s="299"/>
    </row>
    <row r="5" spans="1:33" x14ac:dyDescent="0.25">
      <c r="A5" s="25"/>
      <c r="B5" s="39">
        <v>2011</v>
      </c>
      <c r="C5" s="39">
        <v>2012</v>
      </c>
      <c r="D5" s="39">
        <v>2013</v>
      </c>
      <c r="E5" s="39">
        <v>2014</v>
      </c>
      <c r="F5" s="39">
        <v>2015</v>
      </c>
      <c r="G5" s="114">
        <v>2016</v>
      </c>
      <c r="H5" s="39">
        <v>2017</v>
      </c>
      <c r="I5" s="39">
        <v>2018</v>
      </c>
      <c r="J5" s="39">
        <v>2019</v>
      </c>
      <c r="K5" s="39">
        <v>2020</v>
      </c>
      <c r="L5" s="170">
        <v>2021</v>
      </c>
      <c r="M5" s="170">
        <v>2022</v>
      </c>
      <c r="N5" s="170">
        <v>2023</v>
      </c>
      <c r="O5" s="170">
        <v>2024</v>
      </c>
      <c r="P5" s="225"/>
      <c r="Q5" s="299"/>
      <c r="S5" s="309"/>
      <c r="T5" s="309"/>
      <c r="U5" s="309"/>
      <c r="V5" s="309"/>
      <c r="W5" s="309"/>
      <c r="X5" s="309"/>
      <c r="Y5" s="309"/>
      <c r="Z5" s="309"/>
      <c r="AA5" s="309"/>
      <c r="AB5" s="309"/>
      <c r="AC5" s="309"/>
      <c r="AD5" s="309"/>
      <c r="AE5" s="309"/>
      <c r="AF5" s="217"/>
      <c r="AG5" s="299"/>
    </row>
    <row r="6" spans="1:33" ht="35.25" customHeight="1" x14ac:dyDescent="0.25">
      <c r="A6" s="46" t="s">
        <v>274</v>
      </c>
      <c r="B6" s="29">
        <v>64</v>
      </c>
      <c r="C6" s="29">
        <v>79</v>
      </c>
      <c r="D6" s="29">
        <v>89</v>
      </c>
      <c r="E6" s="29">
        <v>91</v>
      </c>
      <c r="F6" s="29">
        <v>96</v>
      </c>
      <c r="G6" s="36">
        <v>103</v>
      </c>
      <c r="H6" s="29">
        <v>111</v>
      </c>
      <c r="I6" s="29">
        <v>120</v>
      </c>
      <c r="J6" s="32">
        <v>121</v>
      </c>
      <c r="K6" s="32">
        <v>122</v>
      </c>
      <c r="L6" s="103">
        <v>126</v>
      </c>
      <c r="M6" s="103">
        <v>128</v>
      </c>
      <c r="N6" s="103">
        <v>130</v>
      </c>
      <c r="O6" s="103">
        <v>133</v>
      </c>
      <c r="P6" s="225"/>
      <c r="Q6" s="299"/>
      <c r="S6" s="309"/>
      <c r="T6" s="309"/>
      <c r="U6" s="309"/>
      <c r="V6" s="309"/>
      <c r="W6" s="309"/>
      <c r="X6" s="309"/>
      <c r="Y6" s="309"/>
      <c r="Z6" s="309"/>
      <c r="AA6" s="309"/>
      <c r="AB6" s="309"/>
      <c r="AC6" s="309"/>
      <c r="AD6" s="309"/>
      <c r="AE6" s="309"/>
      <c r="AF6" s="217"/>
      <c r="AG6" s="299"/>
    </row>
    <row r="7" spans="1:33" ht="69.75" customHeight="1" x14ac:dyDescent="0.25">
      <c r="A7" s="46" t="s">
        <v>275</v>
      </c>
      <c r="B7" s="29">
        <v>21</v>
      </c>
      <c r="C7" s="29">
        <v>26</v>
      </c>
      <c r="D7" s="29">
        <v>28</v>
      </c>
      <c r="E7" s="29">
        <v>27</v>
      </c>
      <c r="F7" s="29">
        <v>29</v>
      </c>
      <c r="G7" s="36">
        <v>31</v>
      </c>
      <c r="H7" s="29">
        <v>32</v>
      </c>
      <c r="I7" s="29">
        <v>32</v>
      </c>
      <c r="J7" s="32">
        <v>32</v>
      </c>
      <c r="K7" s="32">
        <v>33</v>
      </c>
      <c r="L7" s="103">
        <v>33</v>
      </c>
      <c r="M7" s="103">
        <v>32</v>
      </c>
      <c r="N7" s="103">
        <v>33</v>
      </c>
      <c r="O7" s="103">
        <v>34</v>
      </c>
      <c r="P7" s="225"/>
      <c r="Q7" s="299"/>
      <c r="AG7" s="299"/>
    </row>
    <row r="8" spans="1:33" ht="69" customHeight="1" x14ac:dyDescent="0.25">
      <c r="A8" s="46" t="s">
        <v>276</v>
      </c>
      <c r="B8" s="29">
        <v>17</v>
      </c>
      <c r="C8" s="29">
        <v>30</v>
      </c>
      <c r="D8" s="29">
        <v>40</v>
      </c>
      <c r="E8" s="29">
        <v>48</v>
      </c>
      <c r="F8" s="29">
        <v>53</v>
      </c>
      <c r="G8" s="36">
        <v>59</v>
      </c>
      <c r="H8" s="29">
        <v>68</v>
      </c>
      <c r="I8" s="29">
        <v>78</v>
      </c>
      <c r="J8" s="32">
        <v>80</v>
      </c>
      <c r="K8" s="32">
        <v>82</v>
      </c>
      <c r="L8" s="103">
        <v>87</v>
      </c>
      <c r="M8" s="103">
        <v>90</v>
      </c>
      <c r="N8" s="103">
        <v>91</v>
      </c>
      <c r="O8" s="103">
        <v>94</v>
      </c>
      <c r="P8" s="225"/>
      <c r="Q8" s="299"/>
      <c r="AG8" s="299"/>
    </row>
    <row r="9" spans="1:33" x14ac:dyDescent="0.25">
      <c r="A9" s="107"/>
      <c r="B9" s="107"/>
      <c r="C9" s="107"/>
      <c r="D9" s="107"/>
      <c r="E9" s="107"/>
      <c r="F9" s="107"/>
      <c r="G9" s="107"/>
      <c r="H9" s="107"/>
      <c r="I9" s="107"/>
      <c r="J9" s="107"/>
      <c r="K9" s="107"/>
      <c r="Q9" s="299"/>
      <c r="AG9" s="299"/>
    </row>
    <row r="10" spans="1:33" ht="6" customHeight="1" x14ac:dyDescent="0.25">
      <c r="A10" s="288"/>
      <c r="B10" s="288"/>
      <c r="C10" s="288"/>
      <c r="D10" s="288"/>
      <c r="E10" s="288"/>
      <c r="F10" s="288"/>
      <c r="G10" s="288"/>
      <c r="H10" s="288"/>
      <c r="I10" s="288"/>
      <c r="J10" s="288"/>
      <c r="K10" s="288"/>
      <c r="L10" s="288"/>
      <c r="M10" s="288"/>
      <c r="N10" s="288"/>
      <c r="O10" s="288"/>
      <c r="P10" s="216"/>
      <c r="Q10" s="299"/>
      <c r="AG10" s="299"/>
    </row>
    <row r="11" spans="1:33" ht="21" customHeight="1" x14ac:dyDescent="0.25">
      <c r="B11" s="107"/>
      <c r="C11" s="107"/>
      <c r="D11" s="107"/>
      <c r="E11" s="107"/>
      <c r="F11" s="107"/>
      <c r="G11" s="107"/>
      <c r="H11" s="107"/>
      <c r="I11" s="107"/>
      <c r="J11" s="107"/>
      <c r="K11" s="107"/>
      <c r="Q11" s="299"/>
      <c r="AG11" s="299"/>
    </row>
    <row r="12" spans="1:33" ht="18" customHeight="1" x14ac:dyDescent="0.25">
      <c r="Q12" s="299"/>
      <c r="AG12" s="299"/>
    </row>
    <row r="13" spans="1:33" ht="18" customHeight="1" x14ac:dyDescent="0.25">
      <c r="Q13" s="299"/>
      <c r="AG13" s="299"/>
    </row>
    <row r="14" spans="1:33" ht="18" customHeight="1" x14ac:dyDescent="0.25">
      <c r="Q14" s="299"/>
      <c r="AG14" s="299"/>
    </row>
    <row r="15" spans="1:33" x14ac:dyDescent="0.25">
      <c r="A15" s="107"/>
      <c r="B15" s="107"/>
      <c r="C15" s="107"/>
      <c r="D15" s="107"/>
      <c r="E15" s="107"/>
      <c r="F15" s="107"/>
      <c r="G15" s="107"/>
      <c r="H15" s="107"/>
      <c r="I15" s="107"/>
      <c r="J15" s="107"/>
      <c r="K15" s="107"/>
      <c r="Q15" s="299"/>
      <c r="AG15" s="299"/>
    </row>
    <row r="16" spans="1:33" ht="15.75" customHeight="1" x14ac:dyDescent="0.25">
      <c r="B16" s="107"/>
      <c r="C16" s="107"/>
      <c r="D16" s="107"/>
      <c r="E16" s="107"/>
      <c r="F16" s="107"/>
      <c r="G16" s="107"/>
      <c r="H16" s="107"/>
      <c r="I16" s="107"/>
      <c r="J16" s="107"/>
      <c r="K16" s="107"/>
      <c r="Q16" s="299"/>
      <c r="AG16" s="299"/>
    </row>
    <row r="17" spans="1:33" ht="32.1" customHeight="1" x14ac:dyDescent="0.25">
      <c r="C17" s="107"/>
      <c r="D17" s="107"/>
      <c r="E17" s="107"/>
      <c r="F17" s="107"/>
      <c r="G17" s="107"/>
      <c r="H17" s="107"/>
      <c r="I17" s="107"/>
      <c r="J17" s="107"/>
      <c r="K17" s="107"/>
      <c r="Q17" s="299"/>
      <c r="AG17" s="299"/>
    </row>
    <row r="18" spans="1:33" ht="32.1" customHeight="1" x14ac:dyDescent="0.25">
      <c r="C18" s="107"/>
      <c r="D18" s="107"/>
      <c r="E18" s="107"/>
      <c r="F18" s="107"/>
      <c r="G18" s="107"/>
      <c r="H18" s="107"/>
      <c r="I18" s="107"/>
      <c r="J18" s="107"/>
      <c r="K18" s="107"/>
      <c r="Q18" s="299"/>
      <c r="AG18" s="299"/>
    </row>
    <row r="19" spans="1:33" ht="32.1" customHeight="1" x14ac:dyDescent="0.25">
      <c r="C19" s="107"/>
      <c r="D19" s="107"/>
      <c r="E19" s="107"/>
      <c r="F19" s="107"/>
      <c r="G19" s="107"/>
      <c r="H19" s="107"/>
      <c r="I19" s="107"/>
      <c r="J19" s="107"/>
      <c r="K19" s="107"/>
      <c r="Q19" s="299"/>
      <c r="AG19" s="299"/>
    </row>
    <row r="20" spans="1:33" ht="32.1" customHeight="1" x14ac:dyDescent="0.25">
      <c r="C20" s="107"/>
      <c r="D20" s="107"/>
      <c r="E20" s="107"/>
      <c r="F20" s="107"/>
      <c r="G20" s="107"/>
      <c r="H20" s="107"/>
      <c r="I20" s="107"/>
      <c r="J20" s="107"/>
      <c r="K20" s="107"/>
      <c r="Q20" s="299"/>
      <c r="U20" s="312" t="s">
        <v>337</v>
      </c>
      <c r="V20" s="312"/>
      <c r="W20" s="312"/>
      <c r="X20" s="312"/>
      <c r="Y20" s="312"/>
      <c r="Z20" s="312"/>
      <c r="AA20" s="312"/>
      <c r="AB20" s="312"/>
      <c r="AC20" s="312"/>
      <c r="AD20" s="312"/>
      <c r="AE20" s="312"/>
      <c r="AG20" s="299"/>
    </row>
    <row r="21" spans="1:33" ht="24.95" customHeight="1" x14ac:dyDescent="0.25">
      <c r="A21" s="107"/>
      <c r="B21" s="107"/>
      <c r="C21" s="107"/>
      <c r="D21" s="107"/>
      <c r="E21" s="107"/>
      <c r="F21" s="107"/>
      <c r="G21" s="107"/>
      <c r="H21" s="107"/>
      <c r="I21" s="107"/>
      <c r="J21" s="107"/>
      <c r="K21" s="107"/>
      <c r="Q21" s="299"/>
      <c r="W21" s="311" t="s">
        <v>34</v>
      </c>
      <c r="X21" s="311"/>
      <c r="Y21" s="311"/>
      <c r="Z21" s="311"/>
      <c r="AA21" s="311"/>
      <c r="AB21" s="227">
        <f>O6-B6</f>
        <v>69</v>
      </c>
      <c r="AG21" s="299"/>
    </row>
    <row r="22" spans="1:33" ht="24.95" customHeight="1" x14ac:dyDescent="0.25">
      <c r="A22" s="107"/>
      <c r="B22" s="107"/>
      <c r="C22" s="107"/>
      <c r="D22" s="107"/>
      <c r="E22" s="107"/>
      <c r="F22" s="107"/>
      <c r="G22" s="107"/>
      <c r="H22" s="107"/>
      <c r="I22" s="107"/>
      <c r="J22" s="107"/>
      <c r="K22" s="107"/>
      <c r="Q22" s="299"/>
      <c r="W22" s="311" t="s">
        <v>35</v>
      </c>
      <c r="X22" s="311"/>
      <c r="Y22" s="311"/>
      <c r="Z22" s="311"/>
      <c r="AA22" s="311"/>
      <c r="AB22" s="228">
        <f>(O6/B6-1)*100</f>
        <v>107.8125</v>
      </c>
      <c r="AG22" s="299"/>
    </row>
    <row r="23" spans="1:33" ht="24.95" customHeight="1" x14ac:dyDescent="0.25">
      <c r="A23" s="107"/>
      <c r="B23" s="107"/>
      <c r="C23" s="107"/>
      <c r="D23" s="107"/>
      <c r="E23" s="107"/>
      <c r="F23" s="107"/>
      <c r="G23" s="107"/>
      <c r="H23" s="107"/>
      <c r="I23" s="107"/>
      <c r="J23" s="107"/>
      <c r="K23" s="107"/>
      <c r="Q23" s="299"/>
      <c r="W23" s="311" t="s">
        <v>36</v>
      </c>
      <c r="X23" s="311"/>
      <c r="Y23" s="311"/>
      <c r="Z23" s="311"/>
      <c r="AA23" s="311"/>
      <c r="AB23" s="228">
        <f>(O6/B6)^(1/13)*100</f>
        <v>105.78796967928497</v>
      </c>
      <c r="AG23" s="299"/>
    </row>
    <row r="24" spans="1:33" ht="24.95" customHeight="1" x14ac:dyDescent="0.25">
      <c r="A24" s="107"/>
      <c r="B24" s="107"/>
      <c r="C24" s="107"/>
      <c r="D24" s="107"/>
      <c r="E24" s="107"/>
      <c r="F24" s="107"/>
      <c r="G24" s="107"/>
      <c r="H24" s="107"/>
      <c r="I24" s="107"/>
      <c r="J24" s="107"/>
      <c r="K24" s="107"/>
      <c r="Q24" s="299"/>
      <c r="W24" s="311" t="s">
        <v>37</v>
      </c>
      <c r="X24" s="311"/>
      <c r="Y24" s="311"/>
      <c r="Z24" s="311"/>
      <c r="AA24" s="311"/>
      <c r="AB24" s="228">
        <f>AB23-100</f>
        <v>5.78796967928497</v>
      </c>
      <c r="AG24" s="299"/>
    </row>
    <row r="25" spans="1:33" x14ac:dyDescent="0.25">
      <c r="A25" s="107"/>
      <c r="B25" s="107"/>
      <c r="C25" s="107"/>
      <c r="D25" s="107"/>
      <c r="E25" s="107"/>
      <c r="F25" s="107"/>
      <c r="G25" s="107"/>
      <c r="H25" s="107"/>
      <c r="I25" s="107"/>
      <c r="J25" s="107"/>
      <c r="K25" s="107"/>
      <c r="Q25" s="299"/>
      <c r="AG25" s="299"/>
    </row>
    <row r="26" spans="1:33" ht="6" customHeight="1" x14ac:dyDescent="0.25">
      <c r="A26" s="107"/>
      <c r="B26" s="107"/>
      <c r="C26" s="107"/>
      <c r="D26" s="107"/>
      <c r="E26" s="107"/>
      <c r="F26" s="107"/>
      <c r="G26" s="107"/>
      <c r="H26" s="107"/>
      <c r="I26" s="107"/>
      <c r="J26" s="107"/>
      <c r="K26" s="107"/>
      <c r="Q26" s="299"/>
      <c r="R26" s="237"/>
      <c r="S26" s="238"/>
      <c r="T26" s="238"/>
      <c r="U26" s="238"/>
      <c r="V26" s="238"/>
      <c r="W26" s="238"/>
      <c r="X26" s="238"/>
      <c r="Y26" s="238"/>
      <c r="Z26" s="238"/>
      <c r="AA26" s="238"/>
      <c r="AB26" s="238"/>
      <c r="AC26" s="238"/>
      <c r="AD26" s="238"/>
      <c r="AE26" s="305"/>
      <c r="AF26" s="238"/>
      <c r="AG26" s="299"/>
    </row>
    <row r="27" spans="1:33" x14ac:dyDescent="0.25">
      <c r="A27" s="107"/>
      <c r="B27" s="107"/>
      <c r="C27" s="107"/>
      <c r="D27" s="107"/>
      <c r="E27" s="107"/>
      <c r="F27" s="107"/>
      <c r="G27" s="107"/>
      <c r="H27" s="107"/>
      <c r="I27" s="107"/>
      <c r="J27" s="107"/>
      <c r="K27" s="107"/>
    </row>
    <row r="28" spans="1:33" x14ac:dyDescent="0.25">
      <c r="A28" s="107"/>
      <c r="B28" s="107"/>
      <c r="C28" s="107"/>
      <c r="D28" s="107"/>
      <c r="E28" s="107"/>
      <c r="F28" s="107"/>
      <c r="G28" s="107"/>
      <c r="H28" s="107"/>
      <c r="I28" s="107"/>
      <c r="J28" s="107"/>
      <c r="K28" s="107"/>
    </row>
    <row r="29" spans="1:33" x14ac:dyDescent="0.25">
      <c r="A29" s="107"/>
      <c r="B29" s="107"/>
      <c r="C29" s="107"/>
      <c r="D29" s="107"/>
      <c r="E29" s="107"/>
      <c r="F29" s="107"/>
      <c r="G29" s="107"/>
      <c r="H29" s="107"/>
      <c r="I29" s="107"/>
      <c r="J29" s="107"/>
      <c r="K29" s="107"/>
    </row>
    <row r="30" spans="1:33" x14ac:dyDescent="0.25">
      <c r="A30" s="107"/>
      <c r="B30" s="107"/>
      <c r="C30" s="107"/>
      <c r="D30" s="107"/>
      <c r="E30" s="107"/>
      <c r="F30" s="107"/>
      <c r="G30" s="107"/>
      <c r="H30" s="107"/>
      <c r="I30" s="107"/>
      <c r="J30" s="107"/>
      <c r="K30" s="107"/>
    </row>
    <row r="31" spans="1:33" x14ac:dyDescent="0.25">
      <c r="A31" s="107"/>
      <c r="B31" s="107"/>
      <c r="C31" s="107"/>
      <c r="D31" s="107"/>
      <c r="E31" s="107"/>
      <c r="F31" s="107"/>
      <c r="G31" s="107"/>
      <c r="H31" s="107"/>
      <c r="I31" s="107"/>
      <c r="J31" s="107"/>
      <c r="K31" s="107"/>
    </row>
    <row r="32" spans="1:33" x14ac:dyDescent="0.25">
      <c r="A32" s="107"/>
      <c r="B32" s="107"/>
      <c r="C32" s="107"/>
      <c r="D32" s="107"/>
      <c r="E32" s="107"/>
      <c r="F32" s="107"/>
      <c r="G32" s="107"/>
      <c r="H32" s="107"/>
      <c r="I32" s="107"/>
      <c r="J32" s="107"/>
      <c r="K32" s="107"/>
    </row>
    <row r="33" spans="1:11" x14ac:dyDescent="0.25">
      <c r="A33" s="107"/>
      <c r="B33" s="107"/>
      <c r="C33" s="107"/>
      <c r="D33" s="107"/>
      <c r="E33" s="107"/>
      <c r="F33" s="107"/>
      <c r="G33" s="107"/>
      <c r="H33" s="107"/>
      <c r="I33" s="107"/>
      <c r="J33" s="107"/>
      <c r="K33" s="107"/>
    </row>
    <row r="34" spans="1:11" x14ac:dyDescent="0.25">
      <c r="A34" s="107"/>
      <c r="B34" s="107"/>
      <c r="C34" s="107"/>
      <c r="D34" s="107"/>
      <c r="E34" s="107"/>
      <c r="F34" s="107"/>
      <c r="G34" s="107"/>
      <c r="H34" s="107"/>
      <c r="I34" s="107"/>
      <c r="J34" s="107"/>
      <c r="K34" s="107"/>
    </row>
    <row r="35" spans="1:11" x14ac:dyDescent="0.25">
      <c r="A35" s="107"/>
      <c r="B35" s="107"/>
      <c r="C35" s="107"/>
      <c r="D35" s="107"/>
      <c r="E35" s="107"/>
      <c r="F35" s="107"/>
      <c r="G35" s="107"/>
      <c r="H35" s="107"/>
      <c r="I35" s="107"/>
      <c r="J35" s="107"/>
      <c r="K35" s="107"/>
    </row>
    <row r="36" spans="1:11" x14ac:dyDescent="0.25">
      <c r="A36" s="107"/>
      <c r="B36" s="107"/>
      <c r="C36" s="107"/>
      <c r="D36" s="107"/>
      <c r="E36" s="107"/>
      <c r="F36" s="107"/>
      <c r="G36" s="107"/>
      <c r="H36" s="107"/>
      <c r="I36" s="107"/>
      <c r="J36" s="107"/>
      <c r="K36" s="107"/>
    </row>
    <row r="37" spans="1:11" x14ac:dyDescent="0.25">
      <c r="A37" s="107"/>
      <c r="B37" s="107"/>
      <c r="C37" s="107"/>
      <c r="D37" s="107"/>
      <c r="E37" s="107"/>
      <c r="F37" s="107"/>
      <c r="G37" s="107"/>
      <c r="H37" s="107"/>
      <c r="I37" s="107"/>
      <c r="J37" s="107"/>
      <c r="K37" s="107"/>
    </row>
    <row r="38" spans="1:11" x14ac:dyDescent="0.25">
      <c r="A38" s="107"/>
      <c r="B38" s="107"/>
      <c r="C38" s="107"/>
      <c r="D38" s="107"/>
      <c r="E38" s="107"/>
      <c r="F38" s="107"/>
      <c r="G38" s="107"/>
      <c r="H38" s="107"/>
      <c r="I38" s="107"/>
      <c r="J38" s="107"/>
      <c r="K38" s="107"/>
    </row>
    <row r="39" spans="1:11" x14ac:dyDescent="0.25">
      <c r="A39" s="107"/>
      <c r="B39" s="107"/>
      <c r="C39" s="107"/>
      <c r="D39" s="107"/>
      <c r="E39" s="107"/>
      <c r="F39" s="107"/>
      <c r="G39" s="107"/>
      <c r="H39" s="107"/>
      <c r="I39" s="107"/>
      <c r="J39" s="107"/>
      <c r="K39" s="107"/>
    </row>
    <row r="40" spans="1:11" x14ac:dyDescent="0.25">
      <c r="A40" s="107"/>
      <c r="B40" s="107"/>
      <c r="C40" s="107"/>
      <c r="D40" s="107"/>
      <c r="E40" s="107"/>
      <c r="F40" s="107"/>
      <c r="G40" s="107"/>
      <c r="H40" s="107"/>
      <c r="I40" s="107"/>
      <c r="J40" s="107"/>
      <c r="K40" s="107"/>
    </row>
    <row r="41" spans="1:11" x14ac:dyDescent="0.25">
      <c r="A41" s="107"/>
      <c r="B41" s="107"/>
      <c r="C41" s="107"/>
      <c r="D41" s="107"/>
      <c r="E41" s="107"/>
      <c r="F41" s="107"/>
      <c r="G41" s="107"/>
      <c r="H41" s="107"/>
      <c r="I41" s="107"/>
      <c r="J41" s="107"/>
      <c r="K41" s="107"/>
    </row>
    <row r="42" spans="1:11" x14ac:dyDescent="0.25">
      <c r="A42" s="107"/>
      <c r="B42" s="107"/>
      <c r="C42" s="107"/>
      <c r="D42" s="107"/>
      <c r="E42" s="107"/>
      <c r="F42" s="107"/>
      <c r="G42" s="107"/>
      <c r="H42" s="107"/>
      <c r="I42" s="107"/>
      <c r="J42" s="107"/>
      <c r="K42" s="107"/>
    </row>
    <row r="43" spans="1:11" x14ac:dyDescent="0.25">
      <c r="A43" s="107"/>
      <c r="B43" s="107"/>
      <c r="C43" s="107"/>
      <c r="D43" s="107"/>
      <c r="E43" s="107"/>
      <c r="F43" s="107"/>
      <c r="G43" s="107"/>
      <c r="H43" s="107"/>
      <c r="I43" s="107"/>
      <c r="J43" s="107"/>
      <c r="K43" s="107"/>
    </row>
    <row r="44" spans="1:11" x14ac:dyDescent="0.25">
      <c r="A44" s="107"/>
      <c r="B44" s="107"/>
      <c r="C44" s="107"/>
      <c r="D44" s="107"/>
      <c r="E44" s="107"/>
      <c r="F44" s="107"/>
      <c r="G44" s="107"/>
      <c r="H44" s="107"/>
      <c r="I44" s="107"/>
      <c r="J44" s="107"/>
      <c r="K44" s="107"/>
    </row>
    <row r="45" spans="1:11" x14ac:dyDescent="0.25">
      <c r="A45" s="107"/>
      <c r="B45" s="107"/>
      <c r="C45" s="107"/>
      <c r="D45" s="107"/>
      <c r="E45" s="107"/>
      <c r="F45" s="107"/>
      <c r="G45" s="107"/>
      <c r="H45" s="107"/>
      <c r="I45" s="107"/>
      <c r="J45" s="107"/>
      <c r="K45" s="107"/>
    </row>
    <row r="46" spans="1:11" x14ac:dyDescent="0.25">
      <c r="A46" s="107"/>
      <c r="B46" s="107"/>
      <c r="C46" s="107"/>
      <c r="D46" s="107"/>
      <c r="E46" s="107"/>
      <c r="F46" s="107"/>
      <c r="G46" s="107"/>
      <c r="H46" s="107"/>
      <c r="I46" s="107"/>
      <c r="J46" s="107"/>
      <c r="K46" s="107"/>
    </row>
    <row r="47" spans="1:11" x14ac:dyDescent="0.25">
      <c r="A47" s="107"/>
      <c r="B47" s="107"/>
      <c r="C47" s="107"/>
      <c r="D47" s="107"/>
      <c r="E47" s="107"/>
      <c r="F47" s="107"/>
      <c r="G47" s="107"/>
      <c r="H47" s="107"/>
      <c r="I47" s="107"/>
      <c r="J47" s="107"/>
      <c r="K47" s="107"/>
    </row>
    <row r="48" spans="1:11" x14ac:dyDescent="0.25">
      <c r="A48" s="107"/>
      <c r="B48" s="107"/>
      <c r="C48" s="107"/>
      <c r="D48" s="107"/>
      <c r="E48" s="107"/>
      <c r="F48" s="107"/>
      <c r="G48" s="107"/>
      <c r="H48" s="107"/>
      <c r="I48" s="107"/>
      <c r="J48" s="107"/>
      <c r="K48" s="107"/>
    </row>
    <row r="49" spans="1:11" x14ac:dyDescent="0.25">
      <c r="A49" s="107"/>
      <c r="B49" s="107"/>
      <c r="C49" s="107"/>
      <c r="D49" s="107"/>
      <c r="E49" s="107"/>
      <c r="F49" s="107"/>
      <c r="G49" s="107"/>
      <c r="H49" s="107"/>
      <c r="I49" s="107"/>
      <c r="J49" s="107"/>
      <c r="K49" s="107"/>
    </row>
    <row r="50" spans="1:11" x14ac:dyDescent="0.25">
      <c r="A50" s="107"/>
      <c r="B50" s="107"/>
      <c r="C50" s="107"/>
      <c r="D50" s="107"/>
      <c r="E50" s="107"/>
      <c r="F50" s="107"/>
      <c r="G50" s="107"/>
      <c r="H50" s="107"/>
      <c r="I50" s="107"/>
      <c r="J50" s="107"/>
      <c r="K50" s="107"/>
    </row>
    <row r="51" spans="1:11" x14ac:dyDescent="0.25">
      <c r="A51" s="107"/>
      <c r="B51" s="107"/>
      <c r="C51" s="107"/>
      <c r="D51" s="107"/>
      <c r="E51" s="107"/>
      <c r="F51" s="107"/>
      <c r="G51" s="107"/>
      <c r="H51" s="107"/>
      <c r="I51" s="107"/>
      <c r="J51" s="107"/>
      <c r="K51" s="107"/>
    </row>
    <row r="52" spans="1:11" x14ac:dyDescent="0.25">
      <c r="A52" s="107"/>
      <c r="B52" s="107"/>
      <c r="C52" s="107"/>
      <c r="D52" s="107"/>
      <c r="E52" s="107"/>
      <c r="F52" s="107"/>
      <c r="G52" s="107"/>
      <c r="H52" s="107"/>
      <c r="I52" s="107"/>
      <c r="J52" s="107"/>
      <c r="K52" s="107"/>
    </row>
    <row r="53" spans="1:11" x14ac:dyDescent="0.25">
      <c r="A53" s="107"/>
      <c r="B53" s="107"/>
      <c r="C53" s="107"/>
      <c r="D53" s="107"/>
      <c r="E53" s="107"/>
      <c r="F53" s="107"/>
      <c r="G53" s="107"/>
      <c r="H53" s="107"/>
      <c r="I53" s="107"/>
      <c r="J53" s="107"/>
      <c r="K53" s="107"/>
    </row>
    <row r="54" spans="1:11" x14ac:dyDescent="0.25">
      <c r="A54" s="107"/>
      <c r="B54" s="107"/>
      <c r="C54" s="107"/>
      <c r="D54" s="107"/>
      <c r="E54" s="107"/>
      <c r="F54" s="107"/>
      <c r="G54" s="107"/>
      <c r="H54" s="107"/>
      <c r="I54" s="107"/>
      <c r="J54" s="107"/>
      <c r="K54" s="107"/>
    </row>
    <row r="55" spans="1:11" x14ac:dyDescent="0.25">
      <c r="A55" s="107"/>
      <c r="B55" s="107"/>
      <c r="C55" s="107"/>
      <c r="D55" s="107"/>
      <c r="E55" s="107"/>
      <c r="F55" s="107"/>
      <c r="G55" s="107"/>
      <c r="H55" s="107"/>
      <c r="I55" s="107"/>
      <c r="J55" s="107"/>
      <c r="K55" s="107"/>
    </row>
    <row r="56" spans="1:11" x14ac:dyDescent="0.25">
      <c r="A56" s="107"/>
      <c r="B56" s="107"/>
      <c r="C56" s="107"/>
      <c r="D56" s="107"/>
      <c r="E56" s="107"/>
      <c r="F56" s="107"/>
      <c r="G56" s="107"/>
      <c r="H56" s="107"/>
      <c r="I56" s="107"/>
      <c r="J56" s="107"/>
      <c r="K56" s="107"/>
    </row>
    <row r="57" spans="1:11" x14ac:dyDescent="0.25">
      <c r="A57" s="107"/>
      <c r="B57" s="107"/>
      <c r="C57" s="107"/>
      <c r="D57" s="107"/>
      <c r="E57" s="107"/>
      <c r="F57" s="107"/>
      <c r="G57" s="107"/>
      <c r="H57" s="107"/>
      <c r="I57" s="107"/>
      <c r="J57" s="107"/>
      <c r="K57" s="107"/>
    </row>
    <row r="58" spans="1:11" x14ac:dyDescent="0.25">
      <c r="A58" s="107"/>
      <c r="B58" s="107"/>
      <c r="C58" s="107"/>
      <c r="D58" s="107"/>
      <c r="E58" s="107"/>
      <c r="F58" s="107"/>
      <c r="G58" s="107"/>
      <c r="H58" s="107"/>
      <c r="I58" s="107"/>
      <c r="J58" s="107"/>
      <c r="K58" s="107"/>
    </row>
    <row r="59" spans="1:11" x14ac:dyDescent="0.25">
      <c r="A59" s="107"/>
      <c r="B59" s="107"/>
      <c r="C59" s="107"/>
      <c r="D59" s="107"/>
      <c r="E59" s="107"/>
      <c r="F59" s="107"/>
      <c r="G59" s="107"/>
      <c r="H59" s="107"/>
      <c r="I59" s="107"/>
      <c r="J59" s="107"/>
      <c r="K59" s="107"/>
    </row>
    <row r="60" spans="1:11" x14ac:dyDescent="0.25">
      <c r="A60" s="107"/>
      <c r="B60" s="107"/>
      <c r="C60" s="107"/>
      <c r="D60" s="107"/>
      <c r="E60" s="107"/>
      <c r="F60" s="107"/>
      <c r="G60" s="107"/>
      <c r="H60" s="107"/>
      <c r="I60" s="107"/>
      <c r="J60" s="107"/>
      <c r="K60" s="107"/>
    </row>
    <row r="61" spans="1:11" x14ac:dyDescent="0.25">
      <c r="A61" s="107"/>
      <c r="B61" s="107"/>
      <c r="C61" s="107"/>
      <c r="D61" s="107"/>
      <c r="E61" s="107"/>
      <c r="F61" s="107"/>
      <c r="G61" s="107"/>
      <c r="H61" s="107"/>
      <c r="I61" s="107"/>
      <c r="J61" s="107"/>
      <c r="K61" s="107"/>
    </row>
    <row r="62" spans="1:11" x14ac:dyDescent="0.25">
      <c r="A62" s="107"/>
      <c r="B62" s="107"/>
      <c r="C62" s="107"/>
      <c r="D62" s="107"/>
      <c r="E62" s="107"/>
      <c r="F62" s="107"/>
      <c r="G62" s="107"/>
      <c r="H62" s="107"/>
      <c r="I62" s="107"/>
      <c r="J62" s="107"/>
      <c r="K62" s="107"/>
    </row>
    <row r="63" spans="1:11" x14ac:dyDescent="0.25">
      <c r="A63" s="107"/>
      <c r="B63" s="107"/>
      <c r="C63" s="107"/>
      <c r="D63" s="107"/>
      <c r="E63" s="107"/>
      <c r="F63" s="107"/>
      <c r="G63" s="107"/>
      <c r="H63" s="107"/>
      <c r="I63" s="107"/>
      <c r="J63" s="107"/>
      <c r="K63" s="107"/>
    </row>
    <row r="64" spans="1:11" x14ac:dyDescent="0.25">
      <c r="A64" s="107"/>
      <c r="B64" s="107"/>
      <c r="C64" s="107"/>
      <c r="D64" s="107"/>
      <c r="E64" s="107"/>
      <c r="F64" s="107"/>
      <c r="G64" s="107"/>
      <c r="H64" s="107"/>
      <c r="I64" s="107"/>
      <c r="J64" s="107"/>
      <c r="K64" s="107"/>
    </row>
    <row r="65" spans="1:11" x14ac:dyDescent="0.25">
      <c r="A65" s="107"/>
      <c r="B65" s="107"/>
      <c r="C65" s="107"/>
      <c r="D65" s="107"/>
      <c r="E65" s="107"/>
      <c r="F65" s="107"/>
      <c r="G65" s="107"/>
      <c r="H65" s="107"/>
      <c r="I65" s="107"/>
      <c r="J65" s="107"/>
      <c r="K65" s="107"/>
    </row>
    <row r="66" spans="1:11" x14ac:dyDescent="0.25">
      <c r="A66" s="107"/>
      <c r="B66" s="107"/>
      <c r="C66" s="107"/>
      <c r="D66" s="107"/>
      <c r="E66" s="107"/>
      <c r="F66" s="107"/>
      <c r="G66" s="107"/>
      <c r="H66" s="107"/>
      <c r="I66" s="107"/>
      <c r="J66" s="107"/>
      <c r="K66" s="107"/>
    </row>
    <row r="67" spans="1:11" x14ac:dyDescent="0.25">
      <c r="A67" s="107"/>
      <c r="B67" s="107"/>
      <c r="C67" s="107"/>
      <c r="D67" s="107"/>
      <c r="E67" s="107"/>
      <c r="F67" s="107"/>
      <c r="G67" s="107"/>
      <c r="H67" s="107"/>
      <c r="I67" s="107"/>
      <c r="J67" s="107"/>
      <c r="K67" s="107"/>
    </row>
    <row r="68" spans="1:11" x14ac:dyDescent="0.25">
      <c r="A68" s="107"/>
      <c r="B68" s="107"/>
      <c r="C68" s="107"/>
      <c r="D68" s="107"/>
      <c r="E68" s="107"/>
      <c r="F68" s="107"/>
      <c r="G68" s="107"/>
      <c r="H68" s="107"/>
      <c r="I68" s="107"/>
      <c r="J68" s="107"/>
      <c r="K68" s="107"/>
    </row>
    <row r="69" spans="1:11" x14ac:dyDescent="0.25">
      <c r="A69" s="107"/>
      <c r="B69" s="107"/>
      <c r="C69" s="107"/>
      <c r="D69" s="107"/>
      <c r="E69" s="107"/>
      <c r="F69" s="107"/>
      <c r="G69" s="107"/>
      <c r="H69" s="107"/>
      <c r="I69" s="107"/>
      <c r="J69" s="107"/>
      <c r="K69" s="107"/>
    </row>
    <row r="70" spans="1:11" x14ac:dyDescent="0.25">
      <c r="A70" s="107"/>
      <c r="B70" s="107"/>
      <c r="C70" s="107"/>
      <c r="D70" s="107"/>
      <c r="E70" s="107"/>
      <c r="F70" s="107"/>
      <c r="G70" s="107"/>
      <c r="H70" s="107"/>
      <c r="I70" s="107"/>
      <c r="J70" s="107"/>
      <c r="K70" s="107"/>
    </row>
    <row r="71" spans="1:11" x14ac:dyDescent="0.25">
      <c r="A71" s="107"/>
      <c r="B71" s="107"/>
      <c r="C71" s="107"/>
      <c r="D71" s="107"/>
      <c r="E71" s="107"/>
      <c r="F71" s="107"/>
      <c r="G71" s="107"/>
      <c r="H71" s="107"/>
      <c r="I71" s="107"/>
      <c r="J71" s="107"/>
      <c r="K71" s="107"/>
    </row>
    <row r="72" spans="1:11" x14ac:dyDescent="0.25">
      <c r="A72" s="107"/>
      <c r="B72" s="107"/>
      <c r="C72" s="107"/>
      <c r="D72" s="107"/>
      <c r="E72" s="107"/>
      <c r="F72" s="107"/>
      <c r="G72" s="107"/>
      <c r="H72" s="107"/>
      <c r="I72" s="107"/>
      <c r="J72" s="107"/>
      <c r="K72" s="107"/>
    </row>
    <row r="73" spans="1:11" x14ac:dyDescent="0.25">
      <c r="A73" s="107"/>
      <c r="B73" s="107"/>
      <c r="C73" s="107"/>
      <c r="D73" s="107"/>
      <c r="E73" s="107"/>
      <c r="F73" s="107"/>
      <c r="G73" s="107"/>
      <c r="H73" s="107"/>
      <c r="I73" s="107"/>
      <c r="J73" s="107"/>
      <c r="K73" s="107"/>
    </row>
    <row r="74" spans="1:11" x14ac:dyDescent="0.25">
      <c r="A74" s="107"/>
      <c r="B74" s="107"/>
      <c r="C74" s="107"/>
      <c r="D74" s="107"/>
      <c r="E74" s="107"/>
      <c r="F74" s="107"/>
      <c r="G74" s="107"/>
      <c r="H74" s="107"/>
      <c r="I74" s="107"/>
      <c r="J74" s="107"/>
      <c r="K74" s="107"/>
    </row>
    <row r="75" spans="1:11" x14ac:dyDescent="0.25">
      <c r="A75" s="107"/>
      <c r="B75" s="107"/>
      <c r="C75" s="107"/>
      <c r="D75" s="107"/>
      <c r="E75" s="107"/>
      <c r="F75" s="107"/>
      <c r="G75" s="107"/>
      <c r="H75" s="107"/>
      <c r="I75" s="107"/>
      <c r="J75" s="107"/>
      <c r="K75" s="107"/>
    </row>
    <row r="76" spans="1:11" x14ac:dyDescent="0.25">
      <c r="A76" s="107"/>
      <c r="B76" s="107"/>
      <c r="C76" s="107"/>
      <c r="D76" s="107"/>
      <c r="E76" s="107"/>
      <c r="F76" s="107"/>
      <c r="G76" s="107"/>
      <c r="H76" s="107"/>
      <c r="I76" s="107"/>
      <c r="J76" s="107"/>
      <c r="K76" s="107"/>
    </row>
    <row r="77" spans="1:11" x14ac:dyDescent="0.25">
      <c r="A77" s="107"/>
      <c r="B77" s="107"/>
      <c r="C77" s="107"/>
      <c r="D77" s="107"/>
      <c r="E77" s="107"/>
      <c r="F77" s="107"/>
      <c r="G77" s="107"/>
      <c r="H77" s="107"/>
      <c r="I77" s="107"/>
      <c r="J77" s="107"/>
      <c r="K77" s="107"/>
    </row>
    <row r="78" spans="1:11" x14ac:dyDescent="0.25">
      <c r="A78" s="107"/>
      <c r="B78" s="107"/>
      <c r="C78" s="107"/>
      <c r="D78" s="107"/>
      <c r="E78" s="107"/>
      <c r="F78" s="107"/>
      <c r="G78" s="107"/>
      <c r="H78" s="107"/>
      <c r="I78" s="107"/>
      <c r="J78" s="107"/>
      <c r="K78" s="107"/>
    </row>
    <row r="79" spans="1:11" x14ac:dyDescent="0.25">
      <c r="A79" s="107"/>
      <c r="B79" s="107"/>
      <c r="C79" s="107"/>
      <c r="D79" s="107"/>
      <c r="E79" s="107"/>
      <c r="F79" s="107"/>
      <c r="G79" s="107"/>
      <c r="H79" s="107"/>
      <c r="I79" s="107"/>
      <c r="J79" s="107"/>
      <c r="K79" s="107"/>
    </row>
    <row r="80" spans="1:11" x14ac:dyDescent="0.25">
      <c r="A80" s="107"/>
      <c r="B80" s="107"/>
      <c r="C80" s="107"/>
      <c r="D80" s="107"/>
      <c r="E80" s="107"/>
      <c r="F80" s="107"/>
      <c r="G80" s="107"/>
      <c r="H80" s="107"/>
      <c r="I80" s="107"/>
      <c r="J80" s="107"/>
      <c r="K80" s="107"/>
    </row>
    <row r="81" spans="1:11" x14ac:dyDescent="0.25">
      <c r="A81" s="107"/>
      <c r="B81" s="107"/>
      <c r="C81" s="107"/>
      <c r="D81" s="107"/>
      <c r="E81" s="107"/>
      <c r="F81" s="107"/>
      <c r="G81" s="107"/>
      <c r="H81" s="107"/>
      <c r="I81" s="107"/>
      <c r="J81" s="107"/>
      <c r="K81" s="107"/>
    </row>
    <row r="82" spans="1:11" x14ac:dyDescent="0.25">
      <c r="A82" s="107"/>
      <c r="B82" s="107"/>
      <c r="C82" s="107"/>
      <c r="D82" s="107"/>
      <c r="E82" s="107"/>
      <c r="F82" s="107"/>
      <c r="G82" s="107"/>
      <c r="H82" s="107"/>
      <c r="I82" s="107"/>
      <c r="J82" s="107"/>
      <c r="K82" s="107"/>
    </row>
    <row r="83" spans="1:11" x14ac:dyDescent="0.25">
      <c r="A83" s="107"/>
      <c r="B83" s="107"/>
      <c r="C83" s="107"/>
      <c r="D83" s="107"/>
      <c r="E83" s="107"/>
      <c r="F83" s="107"/>
      <c r="G83" s="107"/>
      <c r="H83" s="107"/>
      <c r="I83" s="107"/>
      <c r="J83" s="107"/>
      <c r="K83" s="107"/>
    </row>
    <row r="84" spans="1:11" x14ac:dyDescent="0.25">
      <c r="A84" s="107"/>
      <c r="B84" s="107"/>
      <c r="C84" s="107"/>
      <c r="D84" s="107"/>
      <c r="E84" s="107"/>
      <c r="F84" s="107"/>
      <c r="G84" s="107"/>
      <c r="H84" s="107"/>
      <c r="I84" s="107"/>
      <c r="J84" s="107"/>
      <c r="K84" s="107"/>
    </row>
    <row r="85" spans="1:11" x14ac:dyDescent="0.25">
      <c r="A85" s="107"/>
      <c r="B85" s="107"/>
      <c r="C85" s="107"/>
      <c r="D85" s="107"/>
      <c r="E85" s="107"/>
      <c r="F85" s="107"/>
      <c r="G85" s="107"/>
      <c r="H85" s="107"/>
      <c r="I85" s="107"/>
      <c r="J85" s="107"/>
      <c r="K85" s="107"/>
    </row>
    <row r="86" spans="1:11" x14ac:dyDescent="0.25">
      <c r="A86" s="107"/>
      <c r="B86" s="107"/>
      <c r="C86" s="107"/>
      <c r="D86" s="107"/>
      <c r="E86" s="107"/>
      <c r="F86" s="107"/>
      <c r="G86" s="107"/>
      <c r="H86" s="107"/>
      <c r="I86" s="107"/>
      <c r="J86" s="107"/>
      <c r="K86" s="107"/>
    </row>
    <row r="87" spans="1:11" x14ac:dyDescent="0.25">
      <c r="A87" s="107"/>
      <c r="B87" s="107"/>
      <c r="C87" s="107"/>
      <c r="D87" s="107"/>
      <c r="E87" s="107"/>
      <c r="F87" s="107"/>
      <c r="G87" s="107"/>
      <c r="H87" s="107"/>
      <c r="I87" s="107"/>
      <c r="J87" s="107"/>
      <c r="K87" s="107"/>
    </row>
    <row r="88" spans="1:11" x14ac:dyDescent="0.25">
      <c r="A88" s="107"/>
      <c r="B88" s="107"/>
      <c r="C88" s="107"/>
      <c r="D88" s="107"/>
      <c r="E88" s="107"/>
      <c r="F88" s="107"/>
      <c r="G88" s="107"/>
      <c r="H88" s="107"/>
      <c r="I88" s="107"/>
      <c r="J88" s="107"/>
      <c r="K88" s="107"/>
    </row>
    <row r="89" spans="1:11" x14ac:dyDescent="0.25">
      <c r="A89" s="107"/>
      <c r="B89" s="107"/>
      <c r="C89" s="107"/>
      <c r="D89" s="107"/>
      <c r="E89" s="107"/>
      <c r="F89" s="107"/>
      <c r="G89" s="107"/>
      <c r="H89" s="107"/>
      <c r="I89" s="107"/>
      <c r="J89" s="107"/>
      <c r="K89" s="107"/>
    </row>
    <row r="90" spans="1:11" x14ac:dyDescent="0.25">
      <c r="A90" s="107"/>
      <c r="B90" s="107"/>
      <c r="C90" s="107"/>
      <c r="D90" s="107"/>
      <c r="E90" s="107"/>
      <c r="F90" s="107"/>
      <c r="G90" s="107"/>
      <c r="H90" s="107"/>
      <c r="I90" s="107"/>
      <c r="J90" s="107"/>
      <c r="K90" s="107"/>
    </row>
    <row r="91" spans="1:11" x14ac:dyDescent="0.25">
      <c r="A91" s="107"/>
      <c r="B91" s="107"/>
      <c r="C91" s="107"/>
      <c r="D91" s="107"/>
      <c r="E91" s="107"/>
      <c r="F91" s="107"/>
      <c r="G91" s="107"/>
      <c r="H91" s="107"/>
      <c r="I91" s="107"/>
      <c r="J91" s="107"/>
      <c r="K91" s="107"/>
    </row>
    <row r="92" spans="1:11" x14ac:dyDescent="0.25">
      <c r="A92" s="107"/>
      <c r="B92" s="107"/>
      <c r="C92" s="107"/>
      <c r="D92" s="107"/>
      <c r="E92" s="107"/>
      <c r="F92" s="107"/>
      <c r="G92" s="107"/>
      <c r="H92" s="107"/>
      <c r="I92" s="107"/>
      <c r="J92" s="107"/>
      <c r="K92" s="107"/>
    </row>
    <row r="93" spans="1:11" x14ac:dyDescent="0.25">
      <c r="A93" s="107"/>
      <c r="B93" s="107"/>
      <c r="C93" s="107"/>
      <c r="D93" s="107"/>
      <c r="E93" s="107"/>
      <c r="F93" s="107"/>
      <c r="G93" s="107"/>
      <c r="H93" s="107"/>
      <c r="I93" s="107"/>
      <c r="J93" s="107"/>
      <c r="K93" s="107"/>
    </row>
    <row r="94" spans="1:11" x14ac:dyDescent="0.25">
      <c r="A94" s="107"/>
      <c r="B94" s="107"/>
      <c r="C94" s="107"/>
      <c r="D94" s="107"/>
      <c r="E94" s="107"/>
      <c r="F94" s="107"/>
      <c r="G94" s="107"/>
      <c r="H94" s="107"/>
      <c r="I94" s="107"/>
      <c r="J94" s="107"/>
      <c r="K94" s="107"/>
    </row>
    <row r="95" spans="1:11" x14ac:dyDescent="0.25">
      <c r="A95" s="107"/>
      <c r="B95" s="107"/>
      <c r="C95" s="107"/>
      <c r="D95" s="107"/>
      <c r="E95" s="107"/>
      <c r="F95" s="107"/>
      <c r="G95" s="107"/>
      <c r="H95" s="107"/>
      <c r="I95" s="107"/>
      <c r="J95" s="107"/>
      <c r="K95" s="107"/>
    </row>
    <row r="96" spans="1:11" x14ac:dyDescent="0.25">
      <c r="A96" s="107"/>
      <c r="B96" s="107"/>
      <c r="C96" s="107"/>
      <c r="D96" s="107"/>
      <c r="E96" s="107"/>
      <c r="F96" s="107"/>
      <c r="G96" s="107"/>
      <c r="H96" s="107"/>
      <c r="I96" s="107"/>
      <c r="J96" s="107"/>
      <c r="K96" s="107"/>
    </row>
    <row r="97" spans="1:11" x14ac:dyDescent="0.25">
      <c r="A97" s="107"/>
      <c r="B97" s="107"/>
      <c r="C97" s="107"/>
      <c r="D97" s="107"/>
      <c r="E97" s="107"/>
      <c r="F97" s="107"/>
      <c r="G97" s="107"/>
      <c r="H97" s="107"/>
      <c r="I97" s="107"/>
      <c r="J97" s="107"/>
      <c r="K97" s="107"/>
    </row>
    <row r="98" spans="1:11" x14ac:dyDescent="0.25">
      <c r="A98" s="107"/>
      <c r="B98" s="107"/>
      <c r="C98" s="107"/>
      <c r="D98" s="107"/>
      <c r="E98" s="107"/>
      <c r="F98" s="107"/>
      <c r="G98" s="107"/>
      <c r="H98" s="107"/>
      <c r="I98" s="107"/>
      <c r="J98" s="107"/>
      <c r="K98" s="107"/>
    </row>
    <row r="99" spans="1:11" x14ac:dyDescent="0.25">
      <c r="A99" s="107"/>
      <c r="B99" s="107"/>
      <c r="C99" s="107"/>
      <c r="D99" s="107"/>
      <c r="E99" s="107"/>
      <c r="F99" s="107"/>
      <c r="G99" s="107"/>
      <c r="H99" s="107"/>
      <c r="I99" s="107"/>
      <c r="J99" s="107"/>
      <c r="K99" s="107"/>
    </row>
    <row r="100" spans="1:11" x14ac:dyDescent="0.25">
      <c r="A100" s="107"/>
      <c r="B100" s="107"/>
      <c r="C100" s="107"/>
      <c r="D100" s="107"/>
      <c r="E100" s="107"/>
      <c r="F100" s="107"/>
      <c r="G100" s="107"/>
      <c r="H100" s="107"/>
      <c r="I100" s="107"/>
      <c r="J100" s="107"/>
      <c r="K100" s="107"/>
    </row>
    <row r="101" spans="1:11" x14ac:dyDescent="0.25">
      <c r="A101" s="107"/>
      <c r="B101" s="107"/>
      <c r="C101" s="107"/>
      <c r="D101" s="107"/>
      <c r="E101" s="107"/>
      <c r="F101" s="107"/>
      <c r="G101" s="107"/>
      <c r="H101" s="107"/>
      <c r="I101" s="107"/>
      <c r="J101" s="107"/>
      <c r="K101" s="107"/>
    </row>
    <row r="102" spans="1:11" x14ac:dyDescent="0.25">
      <c r="A102" s="107"/>
      <c r="B102" s="107"/>
      <c r="C102" s="107"/>
      <c r="D102" s="107"/>
      <c r="E102" s="107"/>
      <c r="F102" s="107"/>
      <c r="G102" s="107"/>
      <c r="H102" s="107"/>
      <c r="I102" s="107"/>
      <c r="J102" s="107"/>
      <c r="K102" s="107"/>
    </row>
    <row r="103" spans="1:11" x14ac:dyDescent="0.25">
      <c r="A103" s="107"/>
      <c r="B103" s="107"/>
      <c r="C103" s="107"/>
      <c r="D103" s="107"/>
      <c r="E103" s="107"/>
      <c r="F103" s="107"/>
      <c r="G103" s="107"/>
      <c r="H103" s="107"/>
      <c r="I103" s="107"/>
      <c r="J103" s="107"/>
      <c r="K103" s="107"/>
    </row>
    <row r="104" spans="1:11" x14ac:dyDescent="0.25">
      <c r="A104" s="107"/>
      <c r="B104" s="107"/>
      <c r="C104" s="107"/>
      <c r="D104" s="107"/>
      <c r="E104" s="107"/>
      <c r="F104" s="107"/>
      <c r="G104" s="107"/>
      <c r="H104" s="107"/>
      <c r="I104" s="107"/>
      <c r="J104" s="107"/>
      <c r="K104" s="107"/>
    </row>
    <row r="105" spans="1:11" x14ac:dyDescent="0.25">
      <c r="A105" s="107"/>
      <c r="B105" s="107"/>
      <c r="C105" s="107"/>
      <c r="D105" s="107"/>
      <c r="E105" s="107"/>
      <c r="F105" s="107"/>
      <c r="G105" s="107"/>
      <c r="H105" s="107"/>
      <c r="I105" s="107"/>
      <c r="J105" s="107"/>
      <c r="K105" s="107"/>
    </row>
    <row r="106" spans="1:11" x14ac:dyDescent="0.25">
      <c r="A106" s="107"/>
      <c r="B106" s="107"/>
      <c r="C106" s="107"/>
      <c r="D106" s="107"/>
      <c r="E106" s="107"/>
      <c r="F106" s="107"/>
      <c r="G106" s="107"/>
      <c r="H106" s="107"/>
      <c r="I106" s="107"/>
      <c r="J106" s="107"/>
      <c r="K106" s="107"/>
    </row>
    <row r="107" spans="1:11" x14ac:dyDescent="0.25">
      <c r="A107" s="107"/>
      <c r="B107" s="107"/>
      <c r="C107" s="107"/>
      <c r="D107" s="107"/>
      <c r="E107" s="107"/>
      <c r="F107" s="107"/>
      <c r="G107" s="107"/>
      <c r="H107" s="107"/>
      <c r="I107" s="107"/>
      <c r="J107" s="107"/>
      <c r="K107" s="107"/>
    </row>
    <row r="108" spans="1:11" x14ac:dyDescent="0.25">
      <c r="A108" s="107"/>
      <c r="B108" s="107"/>
      <c r="C108" s="107"/>
      <c r="D108" s="107"/>
      <c r="E108" s="107"/>
      <c r="F108" s="107"/>
      <c r="G108" s="107"/>
      <c r="H108" s="107"/>
      <c r="I108" s="107"/>
      <c r="J108" s="107"/>
      <c r="K108" s="107"/>
    </row>
    <row r="109" spans="1:11" x14ac:dyDescent="0.25">
      <c r="A109" s="107"/>
      <c r="B109" s="107"/>
      <c r="C109" s="107"/>
      <c r="D109" s="107"/>
      <c r="E109" s="107"/>
      <c r="F109" s="107"/>
      <c r="G109" s="107"/>
      <c r="H109" s="107"/>
      <c r="I109" s="107"/>
      <c r="J109" s="107"/>
      <c r="K109" s="107"/>
    </row>
    <row r="110" spans="1:11" x14ac:dyDescent="0.25">
      <c r="A110" s="107"/>
      <c r="B110" s="107"/>
      <c r="C110" s="107"/>
      <c r="D110" s="107"/>
      <c r="E110" s="107"/>
      <c r="F110" s="107"/>
      <c r="G110" s="107"/>
      <c r="H110" s="107"/>
      <c r="I110" s="107"/>
      <c r="J110" s="107"/>
      <c r="K110" s="107"/>
    </row>
    <row r="111" spans="1:11" x14ac:dyDescent="0.25">
      <c r="A111" s="107"/>
      <c r="B111" s="107"/>
      <c r="C111" s="107"/>
      <c r="D111" s="107"/>
      <c r="E111" s="107"/>
      <c r="F111" s="107"/>
      <c r="G111" s="107"/>
      <c r="H111" s="107"/>
      <c r="I111" s="107"/>
      <c r="J111" s="107"/>
      <c r="K111" s="107"/>
    </row>
    <row r="112" spans="1:11" x14ac:dyDescent="0.25">
      <c r="A112" s="107"/>
      <c r="B112" s="107"/>
      <c r="C112" s="107"/>
      <c r="D112" s="107"/>
      <c r="E112" s="107"/>
      <c r="F112" s="107"/>
      <c r="G112" s="107"/>
      <c r="H112" s="107"/>
      <c r="I112" s="107"/>
      <c r="J112" s="107"/>
      <c r="K112" s="107"/>
    </row>
    <row r="113" spans="1:11" x14ac:dyDescent="0.25">
      <c r="A113" s="107"/>
      <c r="B113" s="107"/>
      <c r="C113" s="107"/>
      <c r="D113" s="107"/>
      <c r="E113" s="107"/>
      <c r="F113" s="107"/>
      <c r="G113" s="107"/>
      <c r="H113" s="107"/>
      <c r="I113" s="107"/>
      <c r="J113" s="107"/>
      <c r="K113" s="107"/>
    </row>
    <row r="114" spans="1:11" x14ac:dyDescent="0.25">
      <c r="A114" s="107"/>
      <c r="B114" s="107"/>
      <c r="C114" s="107"/>
      <c r="D114" s="107"/>
      <c r="E114" s="107"/>
      <c r="F114" s="107"/>
      <c r="G114" s="107"/>
      <c r="H114" s="107"/>
      <c r="I114" s="107"/>
      <c r="J114" s="107"/>
      <c r="K114" s="107"/>
    </row>
    <row r="115" spans="1:11" x14ac:dyDescent="0.25">
      <c r="A115" s="107"/>
      <c r="B115" s="107"/>
      <c r="C115" s="107"/>
      <c r="D115" s="107"/>
      <c r="E115" s="107"/>
      <c r="F115" s="107"/>
      <c r="G115" s="107"/>
      <c r="H115" s="107"/>
      <c r="I115" s="107"/>
      <c r="J115" s="107"/>
      <c r="K115" s="107"/>
    </row>
    <row r="116" spans="1:11" x14ac:dyDescent="0.25">
      <c r="A116" s="107"/>
      <c r="B116" s="107"/>
      <c r="C116" s="107"/>
      <c r="D116" s="107"/>
      <c r="E116" s="107"/>
      <c r="F116" s="107"/>
      <c r="G116" s="107"/>
      <c r="H116" s="107"/>
      <c r="I116" s="107"/>
      <c r="J116" s="107"/>
      <c r="K116" s="107"/>
    </row>
    <row r="117" spans="1:11" x14ac:dyDescent="0.25">
      <c r="A117" s="107"/>
      <c r="B117" s="107"/>
      <c r="C117" s="107"/>
      <c r="D117" s="107"/>
      <c r="E117" s="107"/>
      <c r="F117" s="107"/>
      <c r="G117" s="107"/>
      <c r="H117" s="107"/>
      <c r="I117" s="107"/>
      <c r="J117" s="107"/>
      <c r="K117" s="107"/>
    </row>
    <row r="118" spans="1:11" x14ac:dyDescent="0.25">
      <c r="A118" s="107"/>
      <c r="B118" s="107"/>
      <c r="C118" s="107"/>
      <c r="D118" s="107"/>
      <c r="E118" s="107"/>
      <c r="F118" s="107"/>
      <c r="G118" s="107"/>
      <c r="H118" s="107"/>
      <c r="I118" s="107"/>
      <c r="J118" s="107"/>
      <c r="K118" s="107"/>
    </row>
    <row r="119" spans="1:11" x14ac:dyDescent="0.25">
      <c r="A119" s="107"/>
      <c r="B119" s="107"/>
      <c r="C119" s="107"/>
      <c r="D119" s="107"/>
      <c r="E119" s="107"/>
      <c r="F119" s="107"/>
      <c r="G119" s="107"/>
      <c r="H119" s="107"/>
      <c r="I119" s="107"/>
      <c r="J119" s="107"/>
      <c r="K119" s="107"/>
    </row>
    <row r="120" spans="1:11" x14ac:dyDescent="0.25">
      <c r="A120" s="107"/>
      <c r="B120" s="107"/>
      <c r="C120" s="107"/>
      <c r="D120" s="107"/>
      <c r="E120" s="107"/>
      <c r="F120" s="107"/>
      <c r="G120" s="107"/>
      <c r="H120" s="107"/>
      <c r="I120" s="107"/>
      <c r="J120" s="107"/>
      <c r="K120" s="107"/>
    </row>
    <row r="121" spans="1:11" x14ac:dyDescent="0.25">
      <c r="A121" s="107"/>
      <c r="B121" s="107"/>
      <c r="C121" s="107"/>
      <c r="D121" s="107"/>
      <c r="E121" s="107"/>
      <c r="F121" s="107"/>
      <c r="G121" s="107"/>
      <c r="H121" s="107"/>
      <c r="I121" s="107"/>
      <c r="J121" s="107"/>
      <c r="K121" s="107"/>
    </row>
    <row r="122" spans="1:11" x14ac:dyDescent="0.25">
      <c r="A122" s="107"/>
      <c r="B122" s="107"/>
      <c r="C122" s="107"/>
      <c r="D122" s="107"/>
      <c r="E122" s="107"/>
      <c r="F122" s="107"/>
      <c r="G122" s="107"/>
      <c r="H122" s="107"/>
      <c r="I122" s="107"/>
      <c r="J122" s="107"/>
      <c r="K122" s="107"/>
    </row>
    <row r="123" spans="1:11" x14ac:dyDescent="0.25">
      <c r="A123" s="107"/>
      <c r="B123" s="107"/>
      <c r="C123" s="107"/>
      <c r="D123" s="107"/>
      <c r="E123" s="107"/>
      <c r="F123" s="107"/>
      <c r="G123" s="107"/>
      <c r="H123" s="107"/>
      <c r="I123" s="107"/>
      <c r="J123" s="107"/>
      <c r="K123" s="107"/>
    </row>
    <row r="124" spans="1:11" x14ac:dyDescent="0.25">
      <c r="A124" s="107"/>
      <c r="B124" s="107"/>
      <c r="C124" s="107"/>
      <c r="D124" s="107"/>
      <c r="E124" s="107"/>
      <c r="F124" s="107"/>
      <c r="G124" s="107"/>
      <c r="H124" s="107"/>
      <c r="I124" s="107"/>
      <c r="J124" s="107"/>
      <c r="K124" s="107"/>
    </row>
    <row r="125" spans="1:11" x14ac:dyDescent="0.25">
      <c r="A125" s="107"/>
      <c r="B125" s="107"/>
      <c r="C125" s="107"/>
      <c r="D125" s="107"/>
      <c r="E125" s="107"/>
      <c r="F125" s="107"/>
      <c r="G125" s="107"/>
      <c r="H125" s="107"/>
      <c r="I125" s="107"/>
      <c r="J125" s="107"/>
      <c r="K125" s="107"/>
    </row>
    <row r="126" spans="1:11" x14ac:dyDescent="0.25">
      <c r="A126" s="107"/>
      <c r="B126" s="107"/>
      <c r="C126" s="107"/>
      <c r="D126" s="107"/>
      <c r="E126" s="107"/>
      <c r="F126" s="107"/>
      <c r="G126" s="107"/>
      <c r="H126" s="107"/>
      <c r="I126" s="107"/>
      <c r="J126" s="107"/>
      <c r="K126" s="107"/>
    </row>
    <row r="127" spans="1:11" x14ac:dyDescent="0.25">
      <c r="A127" s="107"/>
      <c r="B127" s="107"/>
      <c r="C127" s="107"/>
      <c r="D127" s="107"/>
      <c r="E127" s="107"/>
      <c r="F127" s="107"/>
      <c r="G127" s="107"/>
      <c r="H127" s="107"/>
      <c r="I127" s="107"/>
      <c r="J127" s="107"/>
      <c r="K127" s="107"/>
    </row>
    <row r="128" spans="1:11" x14ac:dyDescent="0.25">
      <c r="A128" s="107"/>
      <c r="B128" s="107"/>
      <c r="C128" s="107"/>
      <c r="D128" s="107"/>
      <c r="E128" s="107"/>
      <c r="F128" s="107"/>
      <c r="G128" s="107"/>
      <c r="H128" s="107"/>
      <c r="I128" s="107"/>
      <c r="J128" s="107"/>
      <c r="K128" s="107"/>
    </row>
    <row r="129" spans="1:11" x14ac:dyDescent="0.25">
      <c r="A129" s="107"/>
      <c r="B129" s="107"/>
      <c r="C129" s="107"/>
      <c r="D129" s="107"/>
      <c r="E129" s="107"/>
      <c r="F129" s="107"/>
      <c r="G129" s="107"/>
      <c r="H129" s="107"/>
      <c r="I129" s="107"/>
      <c r="J129" s="107"/>
      <c r="K129" s="107"/>
    </row>
    <row r="130" spans="1:11" x14ac:dyDescent="0.25">
      <c r="A130" s="107"/>
      <c r="B130" s="107"/>
      <c r="C130" s="107"/>
      <c r="D130" s="107"/>
      <c r="E130" s="107"/>
      <c r="F130" s="107"/>
      <c r="G130" s="107"/>
      <c r="H130" s="107"/>
      <c r="I130" s="107"/>
      <c r="J130" s="107"/>
      <c r="K130" s="107"/>
    </row>
    <row r="131" spans="1:11" x14ac:dyDescent="0.25">
      <c r="A131" s="107"/>
      <c r="B131" s="107"/>
      <c r="C131" s="107"/>
      <c r="D131" s="107"/>
      <c r="E131" s="107"/>
      <c r="F131" s="107"/>
      <c r="G131" s="107"/>
      <c r="H131" s="107"/>
      <c r="I131" s="107"/>
      <c r="J131" s="107"/>
      <c r="K131" s="107"/>
    </row>
    <row r="132" spans="1:11" x14ac:dyDescent="0.25">
      <c r="A132" s="107"/>
      <c r="B132" s="107"/>
      <c r="C132" s="107"/>
      <c r="D132" s="107"/>
      <c r="E132" s="107"/>
      <c r="F132" s="107"/>
      <c r="G132" s="107"/>
      <c r="H132" s="107"/>
      <c r="I132" s="107"/>
      <c r="J132" s="107"/>
      <c r="K132" s="107"/>
    </row>
    <row r="133" spans="1:11" x14ac:dyDescent="0.25">
      <c r="A133" s="107"/>
      <c r="B133" s="107"/>
      <c r="C133" s="107"/>
      <c r="D133" s="107"/>
      <c r="E133" s="107"/>
      <c r="F133" s="107"/>
      <c r="G133" s="107"/>
      <c r="H133" s="107"/>
      <c r="I133" s="107"/>
      <c r="J133" s="107"/>
      <c r="K133" s="107"/>
    </row>
    <row r="134" spans="1:11" x14ac:dyDescent="0.25">
      <c r="A134" s="107"/>
      <c r="B134" s="107"/>
      <c r="C134" s="107"/>
      <c r="D134" s="107"/>
      <c r="E134" s="107"/>
      <c r="F134" s="107"/>
      <c r="G134" s="107"/>
      <c r="H134" s="107"/>
      <c r="I134" s="107"/>
      <c r="J134" s="107"/>
      <c r="K134" s="107"/>
    </row>
    <row r="135" spans="1:11" x14ac:dyDescent="0.25">
      <c r="A135" s="107"/>
      <c r="B135" s="107"/>
      <c r="C135" s="107"/>
      <c r="D135" s="107"/>
      <c r="E135" s="107"/>
      <c r="F135" s="107"/>
      <c r="G135" s="107"/>
      <c r="H135" s="107"/>
      <c r="I135" s="107"/>
      <c r="J135" s="107"/>
      <c r="K135" s="107"/>
    </row>
    <row r="136" spans="1:11" x14ac:dyDescent="0.25">
      <c r="A136" s="107"/>
      <c r="B136" s="107"/>
      <c r="C136" s="107"/>
      <c r="D136" s="107"/>
      <c r="E136" s="107"/>
      <c r="F136" s="107"/>
      <c r="G136" s="107"/>
      <c r="H136" s="107"/>
      <c r="I136" s="107"/>
      <c r="J136" s="107"/>
      <c r="K136" s="107"/>
    </row>
    <row r="137" spans="1:11" x14ac:dyDescent="0.25">
      <c r="A137" s="107"/>
      <c r="B137" s="107"/>
      <c r="C137" s="107"/>
      <c r="D137" s="107"/>
      <c r="E137" s="107"/>
      <c r="F137" s="107"/>
      <c r="G137" s="107"/>
      <c r="H137" s="107"/>
      <c r="I137" s="107"/>
      <c r="J137" s="107"/>
      <c r="K137" s="107"/>
    </row>
    <row r="138" spans="1:11" x14ac:dyDescent="0.25">
      <c r="A138" s="107"/>
      <c r="B138" s="107"/>
      <c r="C138" s="107"/>
      <c r="D138" s="107"/>
      <c r="E138" s="107"/>
      <c r="F138" s="107"/>
      <c r="G138" s="107"/>
      <c r="H138" s="107"/>
      <c r="I138" s="107"/>
      <c r="J138" s="107"/>
      <c r="K138" s="107"/>
    </row>
    <row r="139" spans="1:11" x14ac:dyDescent="0.25">
      <c r="A139" s="107"/>
      <c r="B139" s="107"/>
      <c r="C139" s="107"/>
      <c r="D139" s="107"/>
      <c r="E139" s="107"/>
      <c r="F139" s="107"/>
      <c r="G139" s="107"/>
      <c r="H139" s="107"/>
      <c r="I139" s="107"/>
      <c r="J139" s="107"/>
      <c r="K139" s="107"/>
    </row>
    <row r="140" spans="1:11" x14ac:dyDescent="0.25">
      <c r="A140" s="107"/>
      <c r="B140" s="107"/>
      <c r="C140" s="107"/>
      <c r="D140" s="107"/>
      <c r="E140" s="107"/>
      <c r="F140" s="107"/>
      <c r="G140" s="107"/>
      <c r="H140" s="107"/>
      <c r="I140" s="107"/>
      <c r="J140" s="107"/>
      <c r="K140" s="107"/>
    </row>
    <row r="141" spans="1:11" x14ac:dyDescent="0.25">
      <c r="A141" s="107"/>
      <c r="B141" s="107"/>
      <c r="C141" s="107"/>
      <c r="D141" s="107"/>
      <c r="E141" s="107"/>
      <c r="F141" s="107"/>
      <c r="G141" s="107"/>
      <c r="H141" s="107"/>
      <c r="I141" s="107"/>
      <c r="J141" s="107"/>
      <c r="K141" s="107"/>
    </row>
    <row r="142" spans="1:11" x14ac:dyDescent="0.25">
      <c r="A142" s="107"/>
      <c r="B142" s="107"/>
      <c r="C142" s="107"/>
      <c r="D142" s="107"/>
      <c r="E142" s="107"/>
      <c r="F142" s="107"/>
      <c r="G142" s="107"/>
      <c r="H142" s="107"/>
      <c r="I142" s="107"/>
      <c r="J142" s="107"/>
      <c r="K142" s="107"/>
    </row>
    <row r="143" spans="1:11" x14ac:dyDescent="0.25">
      <c r="A143" s="107"/>
      <c r="B143" s="107"/>
      <c r="C143" s="107"/>
      <c r="D143" s="107"/>
      <c r="E143" s="107"/>
      <c r="F143" s="107"/>
      <c r="G143" s="107"/>
      <c r="H143" s="107"/>
      <c r="I143" s="107"/>
      <c r="J143" s="107"/>
      <c r="K143" s="107"/>
    </row>
    <row r="144" spans="1:11" x14ac:dyDescent="0.25">
      <c r="A144" s="107"/>
      <c r="B144" s="107"/>
      <c r="C144" s="107"/>
      <c r="D144" s="107"/>
      <c r="E144" s="107"/>
      <c r="F144" s="107"/>
      <c r="G144" s="107"/>
      <c r="H144" s="107"/>
      <c r="I144" s="107"/>
      <c r="J144" s="107"/>
      <c r="K144" s="107"/>
    </row>
    <row r="145" spans="1:11" x14ac:dyDescent="0.25">
      <c r="A145" s="107"/>
      <c r="B145" s="107"/>
      <c r="C145" s="107"/>
      <c r="D145" s="107"/>
      <c r="E145" s="107"/>
      <c r="F145" s="107"/>
      <c r="G145" s="107"/>
      <c r="H145" s="107"/>
      <c r="I145" s="107"/>
      <c r="J145" s="107"/>
      <c r="K145" s="107"/>
    </row>
    <row r="146" spans="1:11" x14ac:dyDescent="0.25">
      <c r="A146" s="107"/>
      <c r="B146" s="107"/>
      <c r="C146" s="107"/>
      <c r="D146" s="107"/>
      <c r="E146" s="107"/>
      <c r="F146" s="107"/>
      <c r="G146" s="107"/>
      <c r="H146" s="107"/>
      <c r="I146" s="107"/>
      <c r="J146" s="107"/>
      <c r="K146" s="107"/>
    </row>
    <row r="147" spans="1:11" x14ac:dyDescent="0.25">
      <c r="A147" s="107"/>
      <c r="B147" s="107"/>
      <c r="C147" s="107"/>
      <c r="D147" s="107"/>
      <c r="E147" s="107"/>
      <c r="F147" s="107"/>
      <c r="G147" s="107"/>
      <c r="H147" s="107"/>
      <c r="I147" s="107"/>
      <c r="J147" s="107"/>
      <c r="K147" s="107"/>
    </row>
    <row r="148" spans="1:11" x14ac:dyDescent="0.25">
      <c r="A148" s="107"/>
      <c r="B148" s="107"/>
      <c r="C148" s="107"/>
      <c r="D148" s="107"/>
      <c r="E148" s="107"/>
      <c r="F148" s="107"/>
      <c r="G148" s="107"/>
      <c r="H148" s="107"/>
      <c r="I148" s="107"/>
      <c r="J148" s="107"/>
      <c r="K148" s="107"/>
    </row>
    <row r="149" spans="1:11" x14ac:dyDescent="0.25">
      <c r="A149" s="107"/>
      <c r="B149" s="107"/>
      <c r="C149" s="107"/>
      <c r="D149" s="107"/>
      <c r="E149" s="107"/>
      <c r="F149" s="107"/>
      <c r="G149" s="107"/>
      <c r="H149" s="107"/>
      <c r="I149" s="107"/>
      <c r="J149" s="107"/>
      <c r="K149" s="107"/>
    </row>
    <row r="150" spans="1:11" x14ac:dyDescent="0.25">
      <c r="A150" s="107"/>
      <c r="B150" s="107"/>
      <c r="C150" s="107"/>
      <c r="D150" s="107"/>
      <c r="E150" s="107"/>
      <c r="F150" s="107"/>
      <c r="G150" s="107"/>
      <c r="H150" s="107"/>
      <c r="I150" s="107"/>
      <c r="J150" s="107"/>
      <c r="K150" s="107"/>
    </row>
    <row r="151" spans="1:11" x14ac:dyDescent="0.25">
      <c r="A151" s="107"/>
      <c r="B151" s="107"/>
      <c r="C151" s="107"/>
      <c r="D151" s="107"/>
      <c r="E151" s="107"/>
      <c r="F151" s="107"/>
      <c r="G151" s="107"/>
      <c r="H151" s="107"/>
      <c r="I151" s="107"/>
      <c r="J151" s="107"/>
      <c r="K151" s="107"/>
    </row>
    <row r="152" spans="1:11" x14ac:dyDescent="0.25">
      <c r="A152" s="107"/>
      <c r="B152" s="107"/>
      <c r="C152" s="107"/>
      <c r="D152" s="107"/>
      <c r="E152" s="107"/>
      <c r="F152" s="107"/>
      <c r="G152" s="107"/>
      <c r="H152" s="107"/>
      <c r="I152" s="107"/>
      <c r="J152" s="107"/>
      <c r="K152" s="107"/>
    </row>
    <row r="153" spans="1:11" x14ac:dyDescent="0.25">
      <c r="A153" s="107"/>
      <c r="B153" s="107"/>
      <c r="C153" s="107"/>
      <c r="D153" s="107"/>
      <c r="E153" s="107"/>
      <c r="F153" s="107"/>
      <c r="G153" s="107"/>
      <c r="H153" s="107"/>
      <c r="I153" s="107"/>
      <c r="J153" s="107"/>
      <c r="K153" s="107"/>
    </row>
  </sheetData>
  <mergeCells count="13">
    <mergeCell ref="AG1:AG26"/>
    <mergeCell ref="A2:O2"/>
    <mergeCell ref="Q1:Q26"/>
    <mergeCell ref="A4:O4"/>
    <mergeCell ref="S3:AE6"/>
    <mergeCell ref="S1:AE2"/>
    <mergeCell ref="W21:AA21"/>
    <mergeCell ref="W22:AA22"/>
    <mergeCell ref="W23:AA23"/>
    <mergeCell ref="W24:AA24"/>
    <mergeCell ref="U20:AE20"/>
    <mergeCell ref="A10:O10"/>
    <mergeCell ref="R26:AF2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V95"/>
  <sheetViews>
    <sheetView showGridLines="0" topLeftCell="A7" zoomScale="115" zoomScaleNormal="115" workbookViewId="0">
      <selection activeCell="W18" sqref="W18"/>
    </sheetView>
  </sheetViews>
  <sheetFormatPr defaultRowHeight="15" x14ac:dyDescent="0.25"/>
  <cols>
    <col min="1" max="1" width="36" customWidth="1"/>
    <col min="5" max="5" width="12.42578125" customWidth="1"/>
    <col min="6" max="6" width="4.7109375" style="217" customWidth="1"/>
    <col min="7" max="7" width="1.7109375" customWidth="1"/>
    <col min="22" max="22" width="1.7109375" customWidth="1"/>
  </cols>
  <sheetData>
    <row r="1" spans="1:22" ht="54.75" customHeight="1" thickBot="1" x14ac:dyDescent="0.3">
      <c r="A1" s="313" t="s">
        <v>278</v>
      </c>
      <c r="B1" s="249"/>
      <c r="C1" s="249"/>
      <c r="D1" s="249"/>
      <c r="E1" s="250"/>
      <c r="G1" s="317"/>
      <c r="V1" s="237"/>
    </row>
    <row r="2" spans="1:22" ht="23.25" customHeight="1" x14ac:dyDescent="0.25">
      <c r="A2" s="314"/>
      <c r="B2" s="321" t="s">
        <v>279</v>
      </c>
      <c r="C2" s="322"/>
      <c r="D2" s="323" t="s">
        <v>280</v>
      </c>
      <c r="E2" s="322"/>
      <c r="G2" s="317"/>
      <c r="H2" s="245"/>
      <c r="I2" s="245"/>
      <c r="J2" s="245"/>
      <c r="K2" s="245"/>
      <c r="L2" s="245"/>
      <c r="M2" s="245"/>
      <c r="N2" s="245"/>
      <c r="O2" s="245"/>
      <c r="P2" s="245"/>
      <c r="Q2" s="245"/>
      <c r="R2" s="245"/>
      <c r="S2" s="245"/>
      <c r="T2" s="245"/>
      <c r="U2" s="245"/>
      <c r="V2" s="238"/>
    </row>
    <row r="3" spans="1:22" x14ac:dyDescent="0.25">
      <c r="A3" s="315"/>
      <c r="B3" s="135"/>
      <c r="C3" s="136"/>
      <c r="D3" s="135"/>
      <c r="E3" s="136"/>
      <c r="F3" s="230"/>
      <c r="G3" s="317"/>
      <c r="V3" s="238"/>
    </row>
    <row r="4" spans="1:22" ht="21" x14ac:dyDescent="0.25">
      <c r="A4" s="37"/>
      <c r="B4" s="37">
        <v>2014</v>
      </c>
      <c r="C4" s="137">
        <v>2020</v>
      </c>
      <c r="D4" s="37">
        <v>2014</v>
      </c>
      <c r="E4" s="138">
        <v>2020</v>
      </c>
      <c r="G4" s="317"/>
      <c r="I4" s="318" t="s">
        <v>24</v>
      </c>
      <c r="J4" s="318"/>
      <c r="K4" s="318"/>
      <c r="L4" s="318"/>
      <c r="M4" s="318"/>
      <c r="N4" s="318"/>
      <c r="O4" s="318"/>
      <c r="P4" s="318"/>
      <c r="Q4" s="318"/>
      <c r="R4" s="318"/>
      <c r="S4" s="318"/>
      <c r="T4" s="318"/>
      <c r="V4" s="238"/>
    </row>
    <row r="5" spans="1:22" ht="28.9" customHeight="1" x14ac:dyDescent="0.25">
      <c r="A5" s="139" t="s">
        <v>281</v>
      </c>
      <c r="B5" s="140">
        <v>26.6</v>
      </c>
      <c r="C5" s="29">
        <v>36.5</v>
      </c>
      <c r="D5" s="29">
        <v>58.2</v>
      </c>
      <c r="E5" s="29">
        <v>73.400000000000006</v>
      </c>
      <c r="F5" s="230"/>
      <c r="G5" s="317"/>
      <c r="I5" s="309" t="s">
        <v>290</v>
      </c>
      <c r="J5" s="309"/>
      <c r="K5" s="309"/>
      <c r="L5" s="309"/>
      <c r="M5" s="309"/>
      <c r="N5" s="309"/>
      <c r="O5" s="309"/>
      <c r="P5" s="309"/>
      <c r="Q5" s="309"/>
      <c r="R5" s="309"/>
      <c r="S5" s="309"/>
      <c r="T5" s="309"/>
      <c r="V5" s="238"/>
    </row>
    <row r="6" spans="1:22" ht="28.9" customHeight="1" x14ac:dyDescent="0.25">
      <c r="A6" s="141" t="s">
        <v>282</v>
      </c>
      <c r="B6" s="142"/>
      <c r="C6" s="33"/>
      <c r="D6" s="33"/>
      <c r="E6" s="33"/>
      <c r="F6"/>
      <c r="G6" s="317"/>
      <c r="I6" s="309"/>
      <c r="J6" s="309"/>
      <c r="K6" s="309"/>
      <c r="L6" s="309"/>
      <c r="M6" s="309"/>
      <c r="N6" s="309"/>
      <c r="O6" s="309"/>
      <c r="P6" s="309"/>
      <c r="Q6" s="309"/>
      <c r="R6" s="309"/>
      <c r="S6" s="309"/>
      <c r="T6" s="309"/>
      <c r="V6" s="238"/>
    </row>
    <row r="7" spans="1:22" ht="15" customHeight="1" x14ac:dyDescent="0.25">
      <c r="A7" s="143" t="s">
        <v>283</v>
      </c>
      <c r="B7" s="140">
        <v>19.399999999999999</v>
      </c>
      <c r="C7" s="29">
        <v>26.3</v>
      </c>
      <c r="D7" s="35">
        <v>58.2</v>
      </c>
      <c r="E7" s="35">
        <v>73.400000000000006</v>
      </c>
      <c r="F7" s="231"/>
      <c r="G7" s="317"/>
      <c r="V7" s="238"/>
    </row>
    <row r="8" spans="1:22" ht="15" customHeight="1" x14ac:dyDescent="0.25">
      <c r="A8" s="143" t="s">
        <v>284</v>
      </c>
      <c r="B8" s="140">
        <v>18.899999999999999</v>
      </c>
      <c r="C8" s="29">
        <v>26.2</v>
      </c>
      <c r="D8" s="29">
        <v>59.1</v>
      </c>
      <c r="E8" s="29">
        <v>77.099999999999994</v>
      </c>
      <c r="F8" s="230"/>
      <c r="G8" s="317"/>
      <c r="V8" s="238"/>
    </row>
    <row r="9" spans="1:22" x14ac:dyDescent="0.25">
      <c r="A9" s="143" t="s">
        <v>285</v>
      </c>
      <c r="B9" s="140">
        <v>21.1</v>
      </c>
      <c r="C9" s="29">
        <v>28.9</v>
      </c>
      <c r="D9" s="29">
        <v>51.4</v>
      </c>
      <c r="E9" s="29">
        <v>65.7</v>
      </c>
      <c r="F9" s="230"/>
      <c r="G9" s="317"/>
      <c r="V9" s="238"/>
    </row>
    <row r="10" spans="1:22" x14ac:dyDescent="0.25">
      <c r="A10" s="143" t="s">
        <v>286</v>
      </c>
      <c r="B10" s="140">
        <v>18.8</v>
      </c>
      <c r="C10" s="29">
        <v>26.6</v>
      </c>
      <c r="D10" s="29">
        <v>56.2</v>
      </c>
      <c r="E10" s="29">
        <v>73.2</v>
      </c>
      <c r="F10" s="230"/>
      <c r="G10" s="317"/>
      <c r="V10" s="238"/>
    </row>
    <row r="11" spans="1:22" x14ac:dyDescent="0.25">
      <c r="A11" s="144" t="s">
        <v>287</v>
      </c>
      <c r="B11" s="140">
        <v>43.4</v>
      </c>
      <c r="C11" s="29">
        <v>56</v>
      </c>
      <c r="D11" s="29">
        <v>59.5</v>
      </c>
      <c r="E11" s="29">
        <v>73.8</v>
      </c>
      <c r="F11" s="230"/>
      <c r="G11" s="317"/>
      <c r="V11" s="238"/>
    </row>
    <row r="12" spans="1:22" x14ac:dyDescent="0.25">
      <c r="A12" s="143" t="s">
        <v>288</v>
      </c>
      <c r="B12" s="140">
        <v>18.100000000000001</v>
      </c>
      <c r="C12" s="29">
        <v>26.7</v>
      </c>
      <c r="D12" s="29">
        <v>63.4</v>
      </c>
      <c r="E12" s="29">
        <v>78.2</v>
      </c>
      <c r="F12" s="230"/>
      <c r="G12" s="317"/>
      <c r="V12" s="238"/>
    </row>
    <row r="13" spans="1:22" x14ac:dyDescent="0.25">
      <c r="A13" s="143" t="s">
        <v>289</v>
      </c>
      <c r="B13" s="140">
        <v>17.899999999999999</v>
      </c>
      <c r="C13" s="29">
        <v>25.3</v>
      </c>
      <c r="D13" s="29">
        <v>53.8</v>
      </c>
      <c r="E13" s="29">
        <v>74.599999999999994</v>
      </c>
      <c r="F13" s="230"/>
      <c r="G13" s="317"/>
      <c r="V13" s="238"/>
    </row>
    <row r="14" spans="1:22" x14ac:dyDescent="0.25">
      <c r="A14" s="107"/>
      <c r="B14" s="107"/>
      <c r="C14" s="107"/>
      <c r="D14" s="107"/>
      <c r="E14" s="107"/>
      <c r="F14" s="232"/>
      <c r="G14" s="317"/>
      <c r="V14" s="238"/>
    </row>
    <row r="15" spans="1:22" ht="6" customHeight="1" x14ac:dyDescent="0.25">
      <c r="A15" s="320"/>
      <c r="B15" s="320"/>
      <c r="C15" s="320"/>
      <c r="D15" s="320"/>
      <c r="E15" s="320"/>
      <c r="F15" s="320"/>
      <c r="G15" s="317"/>
      <c r="V15" s="238"/>
    </row>
    <row r="16" spans="1:22" ht="21" customHeight="1" thickBot="1" x14ac:dyDescent="0.3">
      <c r="B16" s="107"/>
      <c r="C16" s="107"/>
      <c r="D16" s="107"/>
      <c r="E16" s="107"/>
      <c r="F16" s="232"/>
      <c r="G16" s="317"/>
      <c r="V16" s="238"/>
    </row>
    <row r="17" spans="1:22" ht="45.75" customHeight="1" thickBot="1" x14ac:dyDescent="0.3">
      <c r="A17" s="313" t="s">
        <v>291</v>
      </c>
      <c r="B17" s="249"/>
      <c r="C17" s="249"/>
      <c r="D17" s="249"/>
      <c r="E17" s="250"/>
      <c r="G17" s="317"/>
      <c r="V17" s="238"/>
    </row>
    <row r="18" spans="1:22" ht="36" customHeight="1" x14ac:dyDescent="0.25">
      <c r="A18" s="145"/>
      <c r="B18" s="316" t="s">
        <v>292</v>
      </c>
      <c r="C18" s="243"/>
      <c r="D18" s="316" t="s">
        <v>293</v>
      </c>
      <c r="E18" s="243"/>
      <c r="G18" s="317"/>
      <c r="V18" s="238"/>
    </row>
    <row r="19" spans="1:22" x14ac:dyDescent="0.25">
      <c r="A19" s="25"/>
      <c r="B19" s="146">
        <v>2013</v>
      </c>
      <c r="C19" s="147">
        <v>2018</v>
      </c>
      <c r="D19" s="146">
        <v>2013</v>
      </c>
      <c r="E19" s="147">
        <v>2018</v>
      </c>
      <c r="F19" s="230"/>
      <c r="G19" s="317"/>
      <c r="V19" s="238"/>
    </row>
    <row r="20" spans="1:22" ht="28.9" customHeight="1" x14ac:dyDescent="0.25">
      <c r="A20" s="46" t="s">
        <v>281</v>
      </c>
      <c r="B20" s="148">
        <v>23.8</v>
      </c>
      <c r="C20" s="148">
        <v>32.9</v>
      </c>
      <c r="D20" s="148">
        <v>55.1</v>
      </c>
      <c r="E20" s="148">
        <v>70.3</v>
      </c>
      <c r="F20" s="233"/>
      <c r="G20" s="317"/>
      <c r="V20" s="238"/>
    </row>
    <row r="21" spans="1:22" ht="28.9" customHeight="1" x14ac:dyDescent="0.25">
      <c r="A21" s="149" t="s">
        <v>282</v>
      </c>
      <c r="B21" s="33"/>
      <c r="C21" s="33"/>
      <c r="D21" s="33"/>
      <c r="E21" s="33"/>
      <c r="F21"/>
      <c r="G21" s="317"/>
      <c r="V21" s="238"/>
    </row>
    <row r="22" spans="1:22" x14ac:dyDescent="0.25">
      <c r="A22" s="34" t="s">
        <v>283</v>
      </c>
      <c r="B22" s="148">
        <v>22.9</v>
      </c>
      <c r="C22" s="148">
        <v>24.1</v>
      </c>
      <c r="D22" s="150">
        <v>53.2</v>
      </c>
      <c r="E22" s="150">
        <v>70.099999999999994</v>
      </c>
      <c r="F22" s="234"/>
      <c r="G22" s="317"/>
      <c r="V22" s="238"/>
    </row>
    <row r="23" spans="1:22" x14ac:dyDescent="0.25">
      <c r="A23" s="34" t="s">
        <v>284</v>
      </c>
      <c r="B23" s="148">
        <v>20.8</v>
      </c>
      <c r="C23" s="148">
        <v>23.1</v>
      </c>
      <c r="D23" s="148">
        <v>53.7</v>
      </c>
      <c r="E23" s="148">
        <v>72</v>
      </c>
      <c r="F23" s="233"/>
      <c r="G23" s="317"/>
      <c r="V23" s="238"/>
    </row>
    <row r="24" spans="1:22" x14ac:dyDescent="0.25">
      <c r="A24" s="34" t="s">
        <v>285</v>
      </c>
      <c r="B24" s="148">
        <v>23.8</v>
      </c>
      <c r="C24" s="148">
        <v>25.6</v>
      </c>
      <c r="D24" s="148">
        <v>49.1</v>
      </c>
      <c r="E24" s="148">
        <v>65.8</v>
      </c>
      <c r="F24" s="233"/>
      <c r="G24" s="317"/>
      <c r="V24" s="238"/>
    </row>
    <row r="25" spans="1:22" x14ac:dyDescent="0.25">
      <c r="A25" s="34" t="s">
        <v>286</v>
      </c>
      <c r="B25" s="148">
        <v>18</v>
      </c>
      <c r="C25" s="148">
        <v>24.9</v>
      </c>
      <c r="D25" s="148">
        <v>51.6</v>
      </c>
      <c r="E25" s="148">
        <v>69.900000000000006</v>
      </c>
      <c r="F25" s="233"/>
      <c r="G25" s="317"/>
      <c r="V25" s="238"/>
    </row>
    <row r="26" spans="1:22" x14ac:dyDescent="0.25">
      <c r="A26" s="151" t="s">
        <v>287</v>
      </c>
      <c r="B26" s="148">
        <v>40.6</v>
      </c>
      <c r="C26" s="148">
        <v>51.3</v>
      </c>
      <c r="D26" s="148">
        <v>56.9</v>
      </c>
      <c r="E26" s="148">
        <v>69.7</v>
      </c>
      <c r="F26" s="233"/>
      <c r="G26" s="317"/>
      <c r="V26" s="238"/>
    </row>
    <row r="27" spans="1:22" x14ac:dyDescent="0.25">
      <c r="A27" s="34" t="s">
        <v>288</v>
      </c>
      <c r="B27" s="148">
        <v>20.2</v>
      </c>
      <c r="C27" s="148">
        <v>23.1</v>
      </c>
      <c r="D27" s="148">
        <v>60</v>
      </c>
      <c r="E27" s="148">
        <v>76.5</v>
      </c>
      <c r="F27" s="233"/>
      <c r="G27" s="317"/>
      <c r="V27" s="238"/>
    </row>
    <row r="28" spans="1:22" x14ac:dyDescent="0.25">
      <c r="A28" s="34" t="s">
        <v>289</v>
      </c>
      <c r="B28" s="148">
        <v>19.3</v>
      </c>
      <c r="C28" s="148">
        <v>23.1</v>
      </c>
      <c r="D28" s="148">
        <v>50.5</v>
      </c>
      <c r="E28" s="148">
        <v>70.900000000000006</v>
      </c>
      <c r="F28" s="233"/>
      <c r="G28" s="317"/>
      <c r="V28" s="238"/>
    </row>
    <row r="29" spans="1:22" x14ac:dyDescent="0.25">
      <c r="A29" s="107"/>
      <c r="B29" s="107"/>
      <c r="C29" s="107"/>
      <c r="D29" s="107"/>
      <c r="E29" s="107"/>
      <c r="F29" s="232"/>
      <c r="G29" s="317"/>
      <c r="V29" s="238"/>
    </row>
    <row r="30" spans="1:22" ht="6" customHeight="1" x14ac:dyDescent="0.25">
      <c r="A30" s="319"/>
      <c r="B30" s="319"/>
      <c r="C30" s="319"/>
      <c r="D30" s="319"/>
      <c r="E30" s="319"/>
      <c r="F30" s="319"/>
      <c r="G30" s="317"/>
      <c r="H30" s="237"/>
      <c r="I30" s="238"/>
      <c r="J30" s="238"/>
      <c r="K30" s="238"/>
      <c r="L30" s="238"/>
      <c r="M30" s="238"/>
      <c r="N30" s="238"/>
      <c r="O30" s="238"/>
      <c r="P30" s="238"/>
      <c r="Q30" s="238"/>
      <c r="R30" s="238"/>
      <c r="S30" s="238"/>
      <c r="T30" s="238"/>
      <c r="U30" s="238"/>
      <c r="V30" s="238"/>
    </row>
    <row r="31" spans="1:22" x14ac:dyDescent="0.25">
      <c r="A31" s="107"/>
      <c r="B31" s="107"/>
      <c r="C31" s="107"/>
      <c r="D31" s="107"/>
      <c r="E31" s="107"/>
      <c r="F31" s="232"/>
    </row>
    <row r="32" spans="1:22" x14ac:dyDescent="0.25">
      <c r="A32" s="107"/>
      <c r="B32" s="107"/>
      <c r="C32" s="107"/>
      <c r="D32" s="107"/>
      <c r="E32" s="107"/>
      <c r="F32" s="232"/>
    </row>
    <row r="33" spans="1:6" x14ac:dyDescent="0.25">
      <c r="A33" s="107"/>
      <c r="B33" s="107"/>
      <c r="C33" s="107"/>
      <c r="D33" s="107"/>
      <c r="E33" s="107"/>
      <c r="F33" s="232"/>
    </row>
    <row r="34" spans="1:6" x14ac:dyDescent="0.25">
      <c r="A34" s="107"/>
      <c r="B34" s="107"/>
      <c r="C34" s="107"/>
      <c r="D34" s="107"/>
      <c r="E34" s="107"/>
      <c r="F34" s="232"/>
    </row>
    <row r="35" spans="1:6" x14ac:dyDescent="0.25">
      <c r="A35" s="107"/>
      <c r="B35" s="107"/>
      <c r="C35" s="107"/>
      <c r="D35" s="107"/>
      <c r="E35" s="107"/>
      <c r="F35" s="232"/>
    </row>
    <row r="36" spans="1:6" x14ac:dyDescent="0.25">
      <c r="A36" s="107"/>
      <c r="B36" s="107"/>
      <c r="C36" s="107"/>
      <c r="D36" s="107"/>
      <c r="E36" s="107"/>
      <c r="F36" s="232"/>
    </row>
    <row r="37" spans="1:6" x14ac:dyDescent="0.25">
      <c r="A37" s="107"/>
      <c r="B37" s="107"/>
      <c r="C37" s="107"/>
      <c r="D37" s="107"/>
      <c r="E37" s="107"/>
      <c r="F37" s="232"/>
    </row>
    <row r="38" spans="1:6" x14ac:dyDescent="0.25">
      <c r="A38" s="107"/>
      <c r="B38" s="107"/>
      <c r="C38" s="107"/>
      <c r="D38" s="107"/>
      <c r="E38" s="107"/>
      <c r="F38" s="232"/>
    </row>
    <row r="39" spans="1:6" x14ac:dyDescent="0.25">
      <c r="A39" s="107"/>
      <c r="B39" s="107"/>
      <c r="C39" s="107"/>
      <c r="D39" s="107"/>
      <c r="E39" s="107"/>
      <c r="F39" s="232"/>
    </row>
    <row r="40" spans="1:6" x14ac:dyDescent="0.25">
      <c r="A40" s="107"/>
      <c r="B40" s="107"/>
      <c r="C40" s="107"/>
      <c r="D40" s="107"/>
      <c r="E40" s="107"/>
      <c r="F40" s="232"/>
    </row>
    <row r="41" spans="1:6" x14ac:dyDescent="0.25">
      <c r="A41" s="107"/>
      <c r="B41" s="107"/>
      <c r="C41" s="107"/>
      <c r="D41" s="107"/>
      <c r="E41" s="107"/>
      <c r="F41" s="232"/>
    </row>
    <row r="42" spans="1:6" x14ac:dyDescent="0.25">
      <c r="A42" s="107"/>
      <c r="B42" s="107"/>
      <c r="C42" s="107"/>
      <c r="D42" s="107"/>
      <c r="E42" s="107"/>
      <c r="F42" s="232"/>
    </row>
    <row r="43" spans="1:6" x14ac:dyDescent="0.25">
      <c r="A43" s="107"/>
      <c r="B43" s="107"/>
      <c r="C43" s="107"/>
      <c r="D43" s="107"/>
      <c r="E43" s="107"/>
      <c r="F43" s="232"/>
    </row>
    <row r="44" spans="1:6" x14ac:dyDescent="0.25">
      <c r="A44" s="107"/>
      <c r="B44" s="107"/>
      <c r="C44" s="107"/>
      <c r="D44" s="107"/>
      <c r="E44" s="107"/>
      <c r="F44" s="232"/>
    </row>
    <row r="45" spans="1:6" x14ac:dyDescent="0.25">
      <c r="A45" s="107"/>
      <c r="B45" s="107"/>
      <c r="C45" s="107"/>
      <c r="D45" s="107"/>
      <c r="E45" s="107"/>
      <c r="F45" s="232"/>
    </row>
    <row r="46" spans="1:6" x14ac:dyDescent="0.25">
      <c r="A46" s="107"/>
      <c r="B46" s="107"/>
      <c r="C46" s="107"/>
      <c r="D46" s="107"/>
      <c r="E46" s="107"/>
      <c r="F46" s="232"/>
    </row>
    <row r="47" spans="1:6" x14ac:dyDescent="0.25">
      <c r="A47" s="107"/>
      <c r="B47" s="107"/>
      <c r="C47" s="107"/>
      <c r="D47" s="107"/>
      <c r="E47" s="107"/>
      <c r="F47" s="232"/>
    </row>
    <row r="48" spans="1:6" x14ac:dyDescent="0.25">
      <c r="A48" s="107"/>
      <c r="B48" s="107"/>
      <c r="C48" s="107"/>
      <c r="D48" s="107"/>
      <c r="E48" s="107"/>
      <c r="F48" s="232"/>
    </row>
    <row r="49" spans="1:6" x14ac:dyDescent="0.25">
      <c r="A49" s="107"/>
      <c r="B49" s="107"/>
      <c r="C49" s="107"/>
      <c r="D49" s="107"/>
      <c r="E49" s="107"/>
      <c r="F49" s="232"/>
    </row>
    <row r="50" spans="1:6" x14ac:dyDescent="0.25">
      <c r="A50" s="107"/>
      <c r="B50" s="107"/>
      <c r="C50" s="107"/>
      <c r="D50" s="107"/>
      <c r="E50" s="107"/>
      <c r="F50" s="232"/>
    </row>
    <row r="51" spans="1:6" x14ac:dyDescent="0.25">
      <c r="A51" s="107"/>
      <c r="B51" s="107"/>
      <c r="C51" s="107"/>
      <c r="D51" s="107"/>
      <c r="E51" s="107"/>
      <c r="F51" s="232"/>
    </row>
    <row r="52" spans="1:6" x14ac:dyDescent="0.25">
      <c r="A52" s="107"/>
      <c r="B52" s="107"/>
      <c r="C52" s="107"/>
      <c r="D52" s="107"/>
      <c r="E52" s="107"/>
      <c r="F52" s="232"/>
    </row>
    <row r="53" spans="1:6" x14ac:dyDescent="0.25">
      <c r="A53" s="107"/>
      <c r="B53" s="107"/>
      <c r="C53" s="107"/>
      <c r="D53" s="107"/>
      <c r="E53" s="107"/>
      <c r="F53" s="232"/>
    </row>
    <row r="54" spans="1:6" x14ac:dyDescent="0.25">
      <c r="A54" s="107"/>
      <c r="B54" s="107"/>
      <c r="C54" s="107"/>
      <c r="D54" s="107"/>
      <c r="E54" s="107"/>
      <c r="F54" s="232"/>
    </row>
    <row r="55" spans="1:6" x14ac:dyDescent="0.25">
      <c r="A55" s="107"/>
      <c r="B55" s="107"/>
      <c r="C55" s="107"/>
      <c r="D55" s="107"/>
      <c r="E55" s="107"/>
      <c r="F55" s="232"/>
    </row>
    <row r="56" spans="1:6" x14ac:dyDescent="0.25">
      <c r="A56" s="107"/>
      <c r="B56" s="107"/>
      <c r="C56" s="107"/>
      <c r="D56" s="107"/>
      <c r="E56" s="107"/>
      <c r="F56" s="232"/>
    </row>
    <row r="57" spans="1:6" x14ac:dyDescent="0.25">
      <c r="A57" s="107"/>
      <c r="B57" s="107"/>
      <c r="C57" s="107"/>
      <c r="D57" s="107"/>
      <c r="E57" s="107"/>
      <c r="F57" s="232"/>
    </row>
    <row r="58" spans="1:6" x14ac:dyDescent="0.25">
      <c r="A58" s="107"/>
      <c r="B58" s="107"/>
      <c r="C58" s="107"/>
      <c r="D58" s="107"/>
      <c r="E58" s="107"/>
      <c r="F58" s="232"/>
    </row>
    <row r="59" spans="1:6" x14ac:dyDescent="0.25">
      <c r="A59" s="107"/>
      <c r="B59" s="107"/>
      <c r="C59" s="107"/>
      <c r="D59" s="107"/>
      <c r="E59" s="107"/>
      <c r="F59" s="232"/>
    </row>
    <row r="60" spans="1:6" x14ac:dyDescent="0.25">
      <c r="A60" s="107"/>
      <c r="B60" s="107"/>
      <c r="C60" s="107"/>
      <c r="D60" s="107"/>
      <c r="E60" s="107"/>
      <c r="F60" s="232"/>
    </row>
    <row r="61" spans="1:6" x14ac:dyDescent="0.25">
      <c r="A61" s="107"/>
      <c r="B61" s="107"/>
      <c r="C61" s="107"/>
      <c r="D61" s="107"/>
      <c r="E61" s="107"/>
      <c r="F61" s="232"/>
    </row>
    <row r="62" spans="1:6" x14ac:dyDescent="0.25">
      <c r="A62" s="107"/>
      <c r="B62" s="107"/>
      <c r="C62" s="107"/>
      <c r="D62" s="107"/>
      <c r="E62" s="107"/>
      <c r="F62" s="232"/>
    </row>
    <row r="63" spans="1:6" x14ac:dyDescent="0.25">
      <c r="A63" s="107"/>
      <c r="B63" s="107"/>
      <c r="C63" s="107"/>
      <c r="D63" s="107"/>
      <c r="E63" s="107"/>
      <c r="F63" s="232"/>
    </row>
    <row r="64" spans="1:6" x14ac:dyDescent="0.25">
      <c r="A64" s="107"/>
      <c r="B64" s="107"/>
      <c r="C64" s="107"/>
      <c r="D64" s="107"/>
      <c r="E64" s="107"/>
      <c r="F64" s="232"/>
    </row>
    <row r="65" spans="1:6" x14ac:dyDescent="0.25">
      <c r="A65" s="107"/>
      <c r="B65" s="107"/>
      <c r="C65" s="107"/>
      <c r="D65" s="107"/>
      <c r="E65" s="107"/>
      <c r="F65" s="232"/>
    </row>
    <row r="66" spans="1:6" x14ac:dyDescent="0.25">
      <c r="A66" s="107"/>
      <c r="B66" s="107"/>
      <c r="C66" s="107"/>
      <c r="D66" s="107"/>
      <c r="E66" s="107"/>
      <c r="F66" s="232"/>
    </row>
    <row r="67" spans="1:6" x14ac:dyDescent="0.25">
      <c r="A67" s="107"/>
      <c r="B67" s="107"/>
      <c r="C67" s="107"/>
      <c r="D67" s="107"/>
      <c r="E67" s="107"/>
      <c r="F67" s="232"/>
    </row>
    <row r="68" spans="1:6" x14ac:dyDescent="0.25">
      <c r="A68" s="107"/>
      <c r="B68" s="107"/>
      <c r="C68" s="107"/>
      <c r="D68" s="107"/>
      <c r="E68" s="107"/>
      <c r="F68" s="232"/>
    </row>
    <row r="69" spans="1:6" x14ac:dyDescent="0.25">
      <c r="A69" s="107"/>
      <c r="B69" s="107"/>
      <c r="C69" s="107"/>
      <c r="D69" s="107"/>
      <c r="E69" s="107"/>
      <c r="F69" s="232"/>
    </row>
    <row r="70" spans="1:6" x14ac:dyDescent="0.25">
      <c r="A70" s="107"/>
      <c r="B70" s="107"/>
      <c r="C70" s="107"/>
      <c r="D70" s="107"/>
      <c r="E70" s="107"/>
      <c r="F70" s="232"/>
    </row>
    <row r="71" spans="1:6" x14ac:dyDescent="0.25">
      <c r="A71" s="107"/>
      <c r="B71" s="107"/>
      <c r="C71" s="107"/>
      <c r="D71" s="107"/>
      <c r="E71" s="107"/>
      <c r="F71" s="232"/>
    </row>
    <row r="72" spans="1:6" x14ac:dyDescent="0.25">
      <c r="A72" s="107"/>
      <c r="B72" s="107"/>
      <c r="C72" s="107"/>
      <c r="D72" s="107"/>
      <c r="E72" s="107"/>
      <c r="F72" s="232"/>
    </row>
    <row r="73" spans="1:6" x14ac:dyDescent="0.25">
      <c r="A73" s="107"/>
      <c r="B73" s="107"/>
      <c r="C73" s="107"/>
      <c r="D73" s="107"/>
      <c r="E73" s="107"/>
      <c r="F73" s="232"/>
    </row>
    <row r="74" spans="1:6" x14ac:dyDescent="0.25">
      <c r="A74" s="107"/>
      <c r="B74" s="107"/>
      <c r="C74" s="107"/>
      <c r="D74" s="107"/>
      <c r="E74" s="107"/>
      <c r="F74" s="232"/>
    </row>
    <row r="75" spans="1:6" x14ac:dyDescent="0.25">
      <c r="A75" s="107"/>
      <c r="B75" s="107"/>
      <c r="C75" s="107"/>
      <c r="D75" s="107"/>
      <c r="E75" s="107"/>
      <c r="F75" s="232"/>
    </row>
    <row r="76" spans="1:6" x14ac:dyDescent="0.25">
      <c r="A76" s="107"/>
      <c r="B76" s="107"/>
      <c r="C76" s="107"/>
      <c r="D76" s="107"/>
      <c r="E76" s="107"/>
      <c r="F76" s="232"/>
    </row>
    <row r="77" spans="1:6" x14ac:dyDescent="0.25">
      <c r="A77" s="107"/>
      <c r="B77" s="107"/>
      <c r="C77" s="107"/>
      <c r="D77" s="107"/>
      <c r="E77" s="107"/>
      <c r="F77" s="232"/>
    </row>
    <row r="78" spans="1:6" x14ac:dyDescent="0.25">
      <c r="A78" s="107"/>
      <c r="B78" s="107"/>
      <c r="C78" s="107"/>
      <c r="D78" s="107"/>
      <c r="E78" s="107"/>
      <c r="F78" s="232"/>
    </row>
    <row r="79" spans="1:6" x14ac:dyDescent="0.25">
      <c r="A79" s="107"/>
      <c r="B79" s="107"/>
      <c r="C79" s="107"/>
      <c r="D79" s="107"/>
      <c r="E79" s="107"/>
      <c r="F79" s="232"/>
    </row>
    <row r="80" spans="1:6" x14ac:dyDescent="0.25">
      <c r="A80" s="107"/>
      <c r="B80" s="107"/>
      <c r="C80" s="107"/>
      <c r="D80" s="107"/>
      <c r="E80" s="107"/>
      <c r="F80" s="232"/>
    </row>
    <row r="81" spans="1:6" x14ac:dyDescent="0.25">
      <c r="A81" s="107"/>
      <c r="B81" s="107"/>
      <c r="C81" s="107"/>
      <c r="D81" s="107"/>
      <c r="E81" s="107"/>
      <c r="F81" s="232"/>
    </row>
    <row r="82" spans="1:6" x14ac:dyDescent="0.25">
      <c r="A82" s="107"/>
      <c r="B82" s="107"/>
      <c r="C82" s="107"/>
      <c r="D82" s="107"/>
      <c r="E82" s="107"/>
      <c r="F82" s="232"/>
    </row>
    <row r="83" spans="1:6" x14ac:dyDescent="0.25">
      <c r="A83" s="107"/>
      <c r="B83" s="107"/>
      <c r="C83" s="107"/>
      <c r="D83" s="107"/>
      <c r="E83" s="107"/>
      <c r="F83" s="232"/>
    </row>
    <row r="84" spans="1:6" x14ac:dyDescent="0.25">
      <c r="A84" s="107"/>
      <c r="B84" s="107"/>
      <c r="C84" s="107"/>
      <c r="D84" s="107"/>
      <c r="E84" s="107"/>
      <c r="F84" s="232"/>
    </row>
    <row r="85" spans="1:6" x14ac:dyDescent="0.25">
      <c r="A85" s="107"/>
      <c r="B85" s="107"/>
      <c r="C85" s="107"/>
      <c r="D85" s="107"/>
      <c r="E85" s="107"/>
      <c r="F85" s="232"/>
    </row>
    <row r="86" spans="1:6" x14ac:dyDescent="0.25">
      <c r="A86" s="107"/>
      <c r="B86" s="107"/>
      <c r="C86" s="107"/>
      <c r="D86" s="107"/>
      <c r="E86" s="107"/>
      <c r="F86" s="232"/>
    </row>
    <row r="87" spans="1:6" x14ac:dyDescent="0.25">
      <c r="A87" s="107"/>
      <c r="B87" s="107"/>
      <c r="C87" s="107"/>
      <c r="D87" s="107"/>
      <c r="E87" s="107"/>
      <c r="F87" s="232"/>
    </row>
    <row r="88" spans="1:6" x14ac:dyDescent="0.25">
      <c r="A88" s="107"/>
      <c r="B88" s="107"/>
      <c r="C88" s="107"/>
      <c r="D88" s="107"/>
      <c r="E88" s="107"/>
      <c r="F88" s="232"/>
    </row>
    <row r="89" spans="1:6" x14ac:dyDescent="0.25">
      <c r="A89" s="107"/>
      <c r="B89" s="107"/>
      <c r="C89" s="107"/>
      <c r="D89" s="107"/>
      <c r="E89" s="107"/>
      <c r="F89" s="232"/>
    </row>
    <row r="90" spans="1:6" x14ac:dyDescent="0.25">
      <c r="A90" s="107"/>
      <c r="B90" s="107"/>
      <c r="C90" s="107"/>
      <c r="D90" s="107"/>
      <c r="E90" s="107"/>
      <c r="F90" s="232"/>
    </row>
    <row r="91" spans="1:6" x14ac:dyDescent="0.25">
      <c r="A91" s="107"/>
      <c r="B91" s="107"/>
      <c r="C91" s="107"/>
      <c r="D91" s="107"/>
      <c r="E91" s="107"/>
      <c r="F91" s="232"/>
    </row>
    <row r="92" spans="1:6" x14ac:dyDescent="0.25">
      <c r="A92" s="107"/>
      <c r="B92" s="107"/>
      <c r="C92" s="107"/>
      <c r="D92" s="107"/>
      <c r="E92" s="107"/>
      <c r="F92" s="232"/>
    </row>
    <row r="93" spans="1:6" x14ac:dyDescent="0.25">
      <c r="A93" s="107"/>
      <c r="B93" s="107"/>
      <c r="C93" s="107"/>
      <c r="D93" s="107"/>
      <c r="E93" s="107"/>
      <c r="F93" s="232"/>
    </row>
    <row r="94" spans="1:6" x14ac:dyDescent="0.25">
      <c r="A94" s="107"/>
      <c r="B94" s="107"/>
      <c r="C94" s="107"/>
      <c r="D94" s="107"/>
      <c r="E94" s="107"/>
      <c r="F94" s="232"/>
    </row>
    <row r="95" spans="1:6" x14ac:dyDescent="0.25">
      <c r="A95" s="107"/>
      <c r="B95" s="107"/>
      <c r="C95" s="107"/>
      <c r="D95" s="107"/>
      <c r="E95" s="107"/>
      <c r="F95" s="232"/>
    </row>
  </sheetData>
  <mergeCells count="15">
    <mergeCell ref="A1:E1"/>
    <mergeCell ref="V1:V30"/>
    <mergeCell ref="A2:A3"/>
    <mergeCell ref="B18:C18"/>
    <mergeCell ref="H30:U30"/>
    <mergeCell ref="D18:E18"/>
    <mergeCell ref="G1:G30"/>
    <mergeCell ref="H2:U2"/>
    <mergeCell ref="I5:T6"/>
    <mergeCell ref="I4:T4"/>
    <mergeCell ref="A30:F30"/>
    <mergeCell ref="A15:F15"/>
    <mergeCell ref="A17:E17"/>
    <mergeCell ref="B2:C2"/>
    <mergeCell ref="D2:E2"/>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4" tint="0.59999389629810485"/>
  </sheetPr>
  <dimension ref="A1:AC26"/>
  <sheetViews>
    <sheetView showGridLines="0" zoomScale="70" zoomScaleNormal="70" workbookViewId="0">
      <selection activeCell="G20" sqref="G20"/>
    </sheetView>
  </sheetViews>
  <sheetFormatPr defaultRowHeight="15" x14ac:dyDescent="0.25"/>
  <cols>
    <col min="1" max="1" width="36" customWidth="1"/>
    <col min="13" max="13" width="1.7109375" customWidth="1"/>
    <col min="29" max="29" width="1.7109375" customWidth="1"/>
  </cols>
  <sheetData>
    <row r="1" spans="1:29" s="217" customFormat="1" ht="39" customHeight="1" x14ac:dyDescent="0.25">
      <c r="M1" s="299"/>
      <c r="O1" s="304" t="s">
        <v>24</v>
      </c>
      <c r="P1" s="304"/>
      <c r="Q1" s="304"/>
      <c r="R1" s="304"/>
      <c r="S1" s="304"/>
      <c r="T1" s="304"/>
      <c r="U1" s="304"/>
      <c r="V1" s="304"/>
      <c r="W1" s="304"/>
      <c r="X1" s="304"/>
      <c r="Y1" s="304"/>
      <c r="Z1" s="304"/>
      <c r="AA1" s="304"/>
      <c r="AC1" s="299"/>
    </row>
    <row r="2" spans="1:29" s="217" customFormat="1" ht="9.75" customHeight="1" x14ac:dyDescent="0.25">
      <c r="A2" s="299"/>
      <c r="B2" s="299"/>
      <c r="C2" s="299"/>
      <c r="D2" s="299"/>
      <c r="E2" s="299"/>
      <c r="F2" s="299"/>
      <c r="G2" s="299"/>
      <c r="H2" s="299"/>
      <c r="I2" s="299"/>
      <c r="J2" s="299"/>
      <c r="K2" s="299"/>
      <c r="L2" s="299"/>
      <c r="M2" s="299"/>
      <c r="O2" s="304"/>
      <c r="P2" s="304"/>
      <c r="Q2" s="304"/>
      <c r="R2" s="304"/>
      <c r="S2" s="304"/>
      <c r="T2" s="304"/>
      <c r="U2" s="304"/>
      <c r="V2" s="304"/>
      <c r="W2" s="304"/>
      <c r="X2" s="304"/>
      <c r="Y2" s="304"/>
      <c r="Z2" s="304"/>
      <c r="AA2" s="304"/>
      <c r="AC2" s="299"/>
    </row>
    <row r="3" spans="1:29" s="217" customFormat="1" ht="15.75" customHeight="1" thickBot="1" x14ac:dyDescent="0.3">
      <c r="M3" s="299"/>
      <c r="O3" s="324" t="s">
        <v>301</v>
      </c>
      <c r="P3" s="324"/>
      <c r="Q3" s="324"/>
      <c r="R3" s="324"/>
      <c r="S3" s="324"/>
      <c r="T3" s="324"/>
      <c r="U3" s="324"/>
      <c r="V3" s="324"/>
      <c r="W3" s="324"/>
      <c r="X3" s="324"/>
      <c r="Y3" s="324"/>
      <c r="Z3" s="324"/>
      <c r="AA3" s="324"/>
      <c r="AC3" s="299"/>
    </row>
    <row r="4" spans="1:29" ht="18.600000000000001" customHeight="1" thickBot="1" x14ac:dyDescent="0.35">
      <c r="A4" s="325" t="s">
        <v>294</v>
      </c>
      <c r="B4" s="326"/>
      <c r="C4" s="326"/>
      <c r="D4" s="326"/>
      <c r="E4" s="326"/>
      <c r="F4" s="326"/>
      <c r="G4" s="326"/>
      <c r="H4" s="326"/>
      <c r="I4" s="326"/>
      <c r="J4" s="326"/>
      <c r="K4" s="327"/>
      <c r="M4" s="299"/>
      <c r="O4" s="324"/>
      <c r="P4" s="324"/>
      <c r="Q4" s="324"/>
      <c r="R4" s="324"/>
      <c r="S4" s="324"/>
      <c r="T4" s="324"/>
      <c r="U4" s="324"/>
      <c r="V4" s="324"/>
      <c r="W4" s="324"/>
      <c r="X4" s="324"/>
      <c r="Y4" s="324"/>
      <c r="Z4" s="324"/>
      <c r="AA4" s="324"/>
      <c r="AC4" s="299"/>
    </row>
    <row r="5" spans="1:29" ht="15" customHeight="1" x14ac:dyDescent="0.25">
      <c r="A5" s="25"/>
      <c r="B5" s="39">
        <v>2011</v>
      </c>
      <c r="C5" s="39">
        <v>2012</v>
      </c>
      <c r="D5" s="39">
        <v>2013</v>
      </c>
      <c r="E5" s="39">
        <v>2014</v>
      </c>
      <c r="F5" s="39">
        <v>2015</v>
      </c>
      <c r="G5" s="39">
        <v>2016</v>
      </c>
      <c r="H5" s="39">
        <v>2018</v>
      </c>
      <c r="I5" s="39">
        <v>2020</v>
      </c>
      <c r="J5" s="170">
        <v>2022</v>
      </c>
      <c r="K5" s="170">
        <v>2024</v>
      </c>
      <c r="M5" s="299"/>
      <c r="O5" s="324"/>
      <c r="P5" s="324"/>
      <c r="Q5" s="324"/>
      <c r="R5" s="324"/>
      <c r="S5" s="324"/>
      <c r="T5" s="324"/>
      <c r="U5" s="324"/>
      <c r="V5" s="324"/>
      <c r="W5" s="324"/>
      <c r="X5" s="324"/>
      <c r="Y5" s="324"/>
      <c r="Z5" s="324"/>
      <c r="AA5" s="324"/>
      <c r="AC5" s="299"/>
    </row>
    <row r="6" spans="1:29" ht="33" customHeight="1" x14ac:dyDescent="0.25">
      <c r="A6" s="75" t="s">
        <v>295</v>
      </c>
      <c r="B6" s="76">
        <v>73.7</v>
      </c>
      <c r="C6" s="76">
        <v>76.400000000000006</v>
      </c>
      <c r="D6" s="76">
        <v>78.599999999999994</v>
      </c>
      <c r="E6" s="76">
        <v>81.2</v>
      </c>
      <c r="F6" s="76">
        <v>81.900000000000006</v>
      </c>
      <c r="G6" s="76">
        <v>82.1</v>
      </c>
      <c r="H6" s="76">
        <v>79.8</v>
      </c>
      <c r="I6" s="103">
        <v>78.3</v>
      </c>
      <c r="J6" s="103">
        <v>79.400000000000006</v>
      </c>
      <c r="K6" s="103">
        <v>79</v>
      </c>
      <c r="M6" s="299"/>
      <c r="O6" s="324"/>
      <c r="P6" s="324"/>
      <c r="Q6" s="324"/>
      <c r="R6" s="324"/>
      <c r="S6" s="324"/>
      <c r="T6" s="324"/>
      <c r="U6" s="324"/>
      <c r="V6" s="324"/>
      <c r="W6" s="324"/>
      <c r="X6" s="324"/>
      <c r="Y6" s="324"/>
      <c r="Z6" s="324"/>
      <c r="AA6" s="324"/>
      <c r="AC6" s="299"/>
    </row>
    <row r="7" spans="1:29" ht="35.25" customHeight="1" x14ac:dyDescent="0.25">
      <c r="A7" s="82" t="s">
        <v>296</v>
      </c>
      <c r="B7" s="76">
        <v>94.6</v>
      </c>
      <c r="C7" s="76">
        <v>96.8</v>
      </c>
      <c r="D7" s="76">
        <v>97.5</v>
      </c>
      <c r="E7" s="76">
        <v>97.3</v>
      </c>
      <c r="F7" s="76">
        <v>97.2</v>
      </c>
      <c r="G7" s="76">
        <v>97.4</v>
      </c>
      <c r="H7" s="76">
        <v>96.8</v>
      </c>
      <c r="I7" s="103">
        <v>98.7</v>
      </c>
      <c r="J7" s="103">
        <v>98.8</v>
      </c>
      <c r="K7" s="103">
        <v>99.3</v>
      </c>
      <c r="M7" s="299"/>
      <c r="O7" s="235"/>
      <c r="P7" s="235"/>
      <c r="Q7" s="235"/>
      <c r="R7" s="235"/>
      <c r="S7" s="235"/>
      <c r="T7" s="235"/>
      <c r="U7" s="235"/>
      <c r="V7" s="235"/>
      <c r="W7" s="235"/>
      <c r="X7" s="235"/>
      <c r="Y7" s="235"/>
      <c r="Z7" s="235"/>
      <c r="AA7" s="235"/>
      <c r="AC7" s="299"/>
    </row>
    <row r="8" spans="1:29" ht="35.25" customHeight="1" x14ac:dyDescent="0.25">
      <c r="A8" s="82" t="s">
        <v>297</v>
      </c>
      <c r="B8" s="76">
        <v>18.100000000000001</v>
      </c>
      <c r="C8" s="76">
        <v>18.399999999999999</v>
      </c>
      <c r="D8" s="76">
        <v>21.5</v>
      </c>
      <c r="E8" s="76">
        <v>22.6</v>
      </c>
      <c r="F8" s="76">
        <v>23.2</v>
      </c>
      <c r="G8" s="76">
        <v>23.6</v>
      </c>
      <c r="H8" s="76">
        <v>26.6</v>
      </c>
      <c r="I8" s="103">
        <v>27.6</v>
      </c>
      <c r="J8" s="103">
        <v>32.1</v>
      </c>
      <c r="K8" s="103">
        <v>30.8</v>
      </c>
      <c r="M8" s="299"/>
      <c r="AC8" s="299"/>
    </row>
    <row r="9" spans="1:29" ht="39" customHeight="1" x14ac:dyDescent="0.25">
      <c r="A9" s="82" t="s">
        <v>298</v>
      </c>
      <c r="B9" s="76">
        <v>5.9</v>
      </c>
      <c r="C9" s="76">
        <v>5.3</v>
      </c>
      <c r="D9" s="76">
        <v>7</v>
      </c>
      <c r="E9" s="76">
        <v>8.1</v>
      </c>
      <c r="F9" s="76">
        <v>8.6999999999999993</v>
      </c>
      <c r="G9" s="76">
        <v>9.3000000000000007</v>
      </c>
      <c r="H9" s="76">
        <v>13.5</v>
      </c>
      <c r="I9" s="103">
        <v>14.7</v>
      </c>
      <c r="J9" s="103">
        <v>16.399999999999999</v>
      </c>
      <c r="K9" s="103">
        <v>14.3</v>
      </c>
      <c r="M9" s="299"/>
      <c r="AC9" s="299"/>
    </row>
    <row r="10" spans="1:29" ht="81.75" customHeight="1" x14ac:dyDescent="0.25">
      <c r="A10" s="82" t="s">
        <v>299</v>
      </c>
      <c r="B10" s="76">
        <v>50.2</v>
      </c>
      <c r="C10" s="76">
        <v>51.2</v>
      </c>
      <c r="D10" s="76">
        <v>57</v>
      </c>
      <c r="E10" s="76">
        <v>62.2</v>
      </c>
      <c r="F10" s="76">
        <v>59.7</v>
      </c>
      <c r="G10" s="76">
        <v>62.2</v>
      </c>
      <c r="H10" s="76">
        <v>67.2</v>
      </c>
      <c r="I10" s="103">
        <v>70.400000000000006</v>
      </c>
      <c r="J10" s="103">
        <v>71.599999999999994</v>
      </c>
      <c r="K10" s="103">
        <v>71</v>
      </c>
      <c r="M10" s="299"/>
      <c r="AC10" s="299"/>
    </row>
    <row r="11" spans="1:29" ht="30" customHeight="1" x14ac:dyDescent="0.25">
      <c r="A11" s="180" t="s">
        <v>300</v>
      </c>
      <c r="I11" s="175">
        <v>30.5</v>
      </c>
      <c r="J11" s="175">
        <v>43.2</v>
      </c>
      <c r="K11" s="175">
        <v>41.2</v>
      </c>
      <c r="M11" s="299"/>
      <c r="AC11" s="299"/>
    </row>
    <row r="12" spans="1:29" x14ac:dyDescent="0.25">
      <c r="M12" s="299"/>
      <c r="AC12" s="299"/>
    </row>
    <row r="13" spans="1:29" ht="6" customHeight="1" x14ac:dyDescent="0.25">
      <c r="A13" s="247"/>
      <c r="B13" s="247"/>
      <c r="C13" s="247"/>
      <c r="D13" s="247"/>
      <c r="E13" s="247"/>
      <c r="F13" s="247"/>
      <c r="G13" s="247"/>
      <c r="H13" s="247"/>
      <c r="I13" s="247"/>
      <c r="J13" s="247"/>
      <c r="K13" s="247"/>
      <c r="L13" s="247"/>
      <c r="M13" s="299"/>
      <c r="AC13" s="299"/>
    </row>
    <row r="14" spans="1:29" ht="21" customHeight="1" x14ac:dyDescent="0.25">
      <c r="M14" s="299"/>
      <c r="AC14" s="299"/>
    </row>
    <row r="15" spans="1:29" ht="18" customHeight="1" x14ac:dyDescent="0.25">
      <c r="M15" s="299"/>
      <c r="AC15" s="299"/>
    </row>
    <row r="16" spans="1:29" ht="18" customHeight="1" x14ac:dyDescent="0.25">
      <c r="M16" s="299"/>
      <c r="AC16" s="299"/>
    </row>
    <row r="17" spans="13:29" ht="18" customHeight="1" x14ac:dyDescent="0.25">
      <c r="M17" s="299"/>
      <c r="AC17" s="299"/>
    </row>
    <row r="18" spans="13:29" x14ac:dyDescent="0.25">
      <c r="M18" s="299"/>
      <c r="AC18" s="299"/>
    </row>
    <row r="19" spans="13:29" ht="15.75" customHeight="1" x14ac:dyDescent="0.25">
      <c r="M19" s="299"/>
      <c r="AC19" s="299"/>
    </row>
    <row r="20" spans="13:29" ht="32.1" customHeight="1" x14ac:dyDescent="0.25">
      <c r="M20" s="299"/>
      <c r="Q20" s="178" t="s">
        <v>302</v>
      </c>
      <c r="AC20" s="299"/>
    </row>
    <row r="21" spans="13:29" ht="24.95" customHeight="1" x14ac:dyDescent="0.25">
      <c r="M21" s="299"/>
      <c r="S21" s="270" t="s">
        <v>34</v>
      </c>
      <c r="T21" s="270"/>
      <c r="U21" s="270"/>
      <c r="V21" s="270"/>
      <c r="W21" s="188">
        <f>K7-B7</f>
        <v>4.7000000000000028</v>
      </c>
      <c r="AC21" s="299"/>
    </row>
    <row r="22" spans="13:29" ht="24.95" customHeight="1" x14ac:dyDescent="0.25">
      <c r="M22" s="299"/>
      <c r="S22" s="270" t="s">
        <v>35</v>
      </c>
      <c r="T22" s="270"/>
      <c r="U22" s="270"/>
      <c r="V22" s="270"/>
      <c r="W22" s="189">
        <f>(K7/B7-1)*100</f>
        <v>4.9682875264270621</v>
      </c>
      <c r="AC22" s="299"/>
    </row>
    <row r="23" spans="13:29" ht="24.95" customHeight="1" x14ac:dyDescent="0.25">
      <c r="M23" s="299"/>
      <c r="S23" s="270" t="s">
        <v>36</v>
      </c>
      <c r="T23" s="270"/>
      <c r="U23" s="270"/>
      <c r="V23" s="270"/>
      <c r="W23" s="189">
        <f>(K7/B7)^(1/13)*100</f>
        <v>100.37368180206798</v>
      </c>
      <c r="AC23" s="299"/>
    </row>
    <row r="24" spans="13:29" ht="24.95" customHeight="1" x14ac:dyDescent="0.25">
      <c r="M24" s="299"/>
      <c r="S24" s="270" t="s">
        <v>37</v>
      </c>
      <c r="T24" s="270"/>
      <c r="U24" s="270"/>
      <c r="V24" s="270"/>
      <c r="W24" s="189">
        <f>W23-100</f>
        <v>0.37368180206797774</v>
      </c>
      <c r="AC24" s="299"/>
    </row>
    <row r="25" spans="13:29" x14ac:dyDescent="0.25">
      <c r="M25" s="299"/>
      <c r="AC25" s="299"/>
    </row>
    <row r="26" spans="13:29" ht="6" customHeight="1" x14ac:dyDescent="0.25">
      <c r="M26" s="299"/>
      <c r="N26" s="237"/>
      <c r="O26" s="238"/>
      <c r="P26" s="238"/>
      <c r="Q26" s="238"/>
      <c r="R26" s="238"/>
      <c r="S26" s="238"/>
      <c r="T26" s="238"/>
      <c r="U26" s="238"/>
      <c r="V26" s="238"/>
      <c r="W26" s="238"/>
      <c r="X26" s="238"/>
      <c r="Y26" s="238"/>
      <c r="Z26" s="238"/>
      <c r="AA26" s="238"/>
      <c r="AB26" s="238"/>
      <c r="AC26" s="299"/>
    </row>
  </sheetData>
  <mergeCells count="12">
    <mergeCell ref="AC1:AC26"/>
    <mergeCell ref="A2:L2"/>
    <mergeCell ref="O3:AA6"/>
    <mergeCell ref="O1:AA2"/>
    <mergeCell ref="M1:M26"/>
    <mergeCell ref="A13:L13"/>
    <mergeCell ref="S21:V21"/>
    <mergeCell ref="S22:V22"/>
    <mergeCell ref="S23:V23"/>
    <mergeCell ref="S24:V24"/>
    <mergeCell ref="A4:K4"/>
    <mergeCell ref="N26:AB2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4" tint="0.59999389629810485"/>
  </sheetPr>
  <dimension ref="A1:W32"/>
  <sheetViews>
    <sheetView showGridLines="0" zoomScale="85" zoomScaleNormal="85" workbookViewId="0">
      <selection activeCell="L24" sqref="L24"/>
    </sheetView>
  </sheetViews>
  <sheetFormatPr defaultRowHeight="15" x14ac:dyDescent="0.25"/>
  <cols>
    <col min="1" max="1" width="36" customWidth="1"/>
    <col min="2" max="2" width="17.85546875" customWidth="1"/>
    <col min="3" max="3" width="15.42578125" customWidth="1"/>
    <col min="4" max="4" width="14.85546875" customWidth="1"/>
    <col min="5" max="5" width="18.85546875" customWidth="1"/>
    <col min="6" max="6" width="5.42578125" style="217" customWidth="1"/>
    <col min="7" max="7" width="1.7109375" customWidth="1"/>
    <col min="23" max="23" width="1.7109375" customWidth="1"/>
  </cols>
  <sheetData>
    <row r="1" spans="1:23" ht="16.149999999999999" customHeight="1" thickBot="1" x14ac:dyDescent="0.3">
      <c r="A1" s="248" t="s">
        <v>303</v>
      </c>
      <c r="B1" s="249"/>
      <c r="C1" s="249"/>
      <c r="D1" s="249"/>
      <c r="E1" s="250"/>
      <c r="G1" s="237"/>
      <c r="W1" s="237"/>
    </row>
    <row r="2" spans="1:23" ht="15.6" customHeight="1" x14ac:dyDescent="0.25">
      <c r="A2" s="239"/>
      <c r="B2" s="241" t="s">
        <v>304</v>
      </c>
      <c r="C2" s="242"/>
      <c r="D2" s="243"/>
      <c r="E2" s="241" t="s">
        <v>305</v>
      </c>
      <c r="F2" s="236"/>
      <c r="G2" s="238"/>
      <c r="W2" s="238"/>
    </row>
    <row r="3" spans="1:23" ht="69.75" customHeight="1" x14ac:dyDescent="0.25">
      <c r="A3" s="240"/>
      <c r="B3" s="76" t="s">
        <v>306</v>
      </c>
      <c r="C3" s="76" t="s">
        <v>307</v>
      </c>
      <c r="D3" s="76" t="s">
        <v>308</v>
      </c>
      <c r="E3" s="240"/>
      <c r="G3" s="238"/>
      <c r="W3" s="238"/>
    </row>
    <row r="4" spans="1:23" ht="15.6" customHeight="1" x14ac:dyDescent="0.25">
      <c r="A4" s="83" t="s">
        <v>309</v>
      </c>
      <c r="B4" s="103">
        <v>78.3</v>
      </c>
      <c r="C4" s="103">
        <v>98.4</v>
      </c>
      <c r="D4" s="103">
        <v>98.7</v>
      </c>
      <c r="E4" s="103">
        <v>70.400000000000006</v>
      </c>
      <c r="F4" s="225"/>
      <c r="G4" s="238"/>
      <c r="H4" s="245"/>
      <c r="I4" s="245"/>
      <c r="J4" s="245"/>
      <c r="K4" s="245"/>
      <c r="L4" s="245"/>
      <c r="M4" s="245"/>
      <c r="N4" s="245"/>
      <c r="O4" s="245"/>
      <c r="P4" s="245"/>
      <c r="Q4" s="245"/>
      <c r="R4" s="245"/>
      <c r="S4" s="245"/>
      <c r="T4" s="245"/>
      <c r="U4" s="245"/>
      <c r="V4" s="245"/>
      <c r="W4" s="238"/>
    </row>
    <row r="5" spans="1:23" ht="21.75" customHeight="1" x14ac:dyDescent="0.25">
      <c r="A5" s="84" t="s">
        <v>310</v>
      </c>
      <c r="B5" s="76"/>
      <c r="C5" s="76"/>
      <c r="D5" s="76"/>
      <c r="E5" s="76"/>
      <c r="F5" s="236"/>
      <c r="G5" s="238"/>
      <c r="I5" s="244" t="s">
        <v>24</v>
      </c>
      <c r="J5" s="244"/>
      <c r="K5" s="244"/>
      <c r="L5" s="244"/>
      <c r="M5" s="244"/>
      <c r="N5" s="244"/>
      <c r="O5" s="244"/>
      <c r="P5" s="244"/>
      <c r="Q5" s="244"/>
      <c r="R5" s="244"/>
      <c r="S5" s="244"/>
      <c r="T5" s="244"/>
      <c r="W5" s="238"/>
    </row>
    <row r="6" spans="1:23" ht="46.9" customHeight="1" x14ac:dyDescent="0.25">
      <c r="A6" s="85" t="s">
        <v>311</v>
      </c>
      <c r="B6" s="103">
        <v>77.3</v>
      </c>
      <c r="C6" s="103">
        <v>100</v>
      </c>
      <c r="D6" s="103">
        <v>100</v>
      </c>
      <c r="E6" s="103">
        <v>38.299999999999997</v>
      </c>
      <c r="F6" s="225"/>
      <c r="G6" s="238"/>
      <c r="I6" s="246" t="s">
        <v>331</v>
      </c>
      <c r="J6" s="246"/>
      <c r="K6" s="246"/>
      <c r="L6" s="246"/>
      <c r="M6" s="246"/>
      <c r="N6" s="246"/>
      <c r="O6" s="246"/>
      <c r="P6" s="246"/>
      <c r="Q6" s="246"/>
      <c r="R6" s="246"/>
      <c r="S6" s="246"/>
      <c r="T6" s="246"/>
      <c r="U6" s="246"/>
      <c r="W6" s="238"/>
    </row>
    <row r="7" spans="1:23" ht="46.9" customHeight="1" x14ac:dyDescent="0.25">
      <c r="A7" s="85" t="s">
        <v>312</v>
      </c>
      <c r="B7" s="103">
        <v>100</v>
      </c>
      <c r="C7" s="103">
        <v>100</v>
      </c>
      <c r="D7" s="103">
        <v>100</v>
      </c>
      <c r="E7" s="103">
        <v>83.3</v>
      </c>
      <c r="F7" s="225"/>
      <c r="G7" s="238"/>
      <c r="I7" s="246"/>
      <c r="J7" s="246"/>
      <c r="K7" s="246"/>
      <c r="L7" s="246"/>
      <c r="M7" s="246"/>
      <c r="N7" s="246"/>
      <c r="O7" s="246"/>
      <c r="P7" s="246"/>
      <c r="Q7" s="246"/>
      <c r="R7" s="246"/>
      <c r="S7" s="246"/>
      <c r="T7" s="246"/>
      <c r="U7" s="246"/>
      <c r="W7" s="238"/>
    </row>
    <row r="8" spans="1:23" ht="46.9" customHeight="1" x14ac:dyDescent="0.25">
      <c r="A8" s="85" t="s">
        <v>313</v>
      </c>
      <c r="B8" s="103">
        <v>94</v>
      </c>
      <c r="C8" s="103">
        <v>99.9</v>
      </c>
      <c r="D8" s="76">
        <v>99.6</v>
      </c>
      <c r="E8" s="103">
        <v>89.6</v>
      </c>
      <c r="F8" s="225"/>
      <c r="G8" s="238"/>
      <c r="W8" s="238"/>
    </row>
    <row r="9" spans="1:23" ht="109.15" customHeight="1" x14ac:dyDescent="0.25">
      <c r="A9" s="85" t="s">
        <v>314</v>
      </c>
      <c r="B9" s="103">
        <v>98.6</v>
      </c>
      <c r="C9" s="103">
        <v>100</v>
      </c>
      <c r="D9" s="103">
        <v>100</v>
      </c>
      <c r="E9" s="103">
        <v>82.4</v>
      </c>
      <c r="F9" s="225"/>
      <c r="G9" s="238"/>
      <c r="W9" s="238"/>
    </row>
    <row r="10" spans="1:23" ht="124.9" customHeight="1" x14ac:dyDescent="0.25">
      <c r="A10" s="85" t="s">
        <v>315</v>
      </c>
      <c r="B10" s="103">
        <v>100</v>
      </c>
      <c r="C10" s="103">
        <v>100</v>
      </c>
      <c r="D10" s="103">
        <v>100</v>
      </c>
      <c r="E10" s="103">
        <v>88.5</v>
      </c>
      <c r="F10" s="225"/>
      <c r="G10" s="238"/>
      <c r="W10" s="238"/>
    </row>
    <row r="11" spans="1:23" ht="31.15" customHeight="1" x14ac:dyDescent="0.25">
      <c r="A11" s="85" t="s">
        <v>316</v>
      </c>
      <c r="B11" s="103">
        <v>94.1</v>
      </c>
      <c r="C11" s="103">
        <v>100</v>
      </c>
      <c r="D11" s="103">
        <v>100</v>
      </c>
      <c r="E11" s="103">
        <v>70.3</v>
      </c>
      <c r="F11" s="225"/>
      <c r="G11" s="238"/>
      <c r="W11" s="238"/>
    </row>
    <row r="12" spans="1:23" ht="109.15" customHeight="1" x14ac:dyDescent="0.25">
      <c r="A12" s="85" t="s">
        <v>317</v>
      </c>
      <c r="B12" s="103">
        <v>77.2</v>
      </c>
      <c r="C12" s="103">
        <v>97.9</v>
      </c>
      <c r="D12" s="103">
        <v>98.1</v>
      </c>
      <c r="E12" s="103">
        <v>69.599999999999994</v>
      </c>
      <c r="F12" s="225"/>
      <c r="G12" s="238"/>
      <c r="W12" s="238"/>
    </row>
    <row r="13" spans="1:23" ht="105.6" customHeight="1" x14ac:dyDescent="0.25">
      <c r="A13" s="85" t="s">
        <v>318</v>
      </c>
      <c r="B13" s="103">
        <v>97.1</v>
      </c>
      <c r="C13" s="103">
        <v>99.4</v>
      </c>
      <c r="D13" s="103">
        <v>99.4</v>
      </c>
      <c r="E13" s="103">
        <v>82.5</v>
      </c>
      <c r="F13" s="225"/>
      <c r="G13" s="238"/>
      <c r="W13" s="238"/>
    </row>
    <row r="14" spans="1:23" ht="64.150000000000006" customHeight="1" x14ac:dyDescent="0.25">
      <c r="A14" s="85" t="s">
        <v>319</v>
      </c>
      <c r="B14" s="103">
        <v>93</v>
      </c>
      <c r="C14" s="103">
        <v>100</v>
      </c>
      <c r="D14" s="103">
        <v>100</v>
      </c>
      <c r="E14" s="103">
        <v>81.7</v>
      </c>
      <c r="F14" s="225"/>
      <c r="G14" s="238"/>
      <c r="W14" s="238"/>
    </row>
    <row r="15" spans="1:23" ht="46.9" customHeight="1" x14ac:dyDescent="0.25">
      <c r="A15" s="85" t="s">
        <v>320</v>
      </c>
      <c r="B15" s="103">
        <v>65</v>
      </c>
      <c r="C15" s="103">
        <v>97</v>
      </c>
      <c r="D15" s="103">
        <v>97.5</v>
      </c>
      <c r="E15" s="103">
        <v>66.7</v>
      </c>
      <c r="F15" s="225"/>
      <c r="G15" s="238"/>
      <c r="W15" s="238"/>
    </row>
    <row r="16" spans="1:23" ht="46.9" customHeight="1" x14ac:dyDescent="0.25">
      <c r="A16" s="85" t="s">
        <v>321</v>
      </c>
      <c r="B16" s="103">
        <v>100</v>
      </c>
      <c r="C16" s="103">
        <v>100</v>
      </c>
      <c r="D16" s="103">
        <v>100</v>
      </c>
      <c r="E16" s="103">
        <v>100</v>
      </c>
      <c r="F16" s="225"/>
      <c r="G16" s="238"/>
      <c r="W16" s="238"/>
    </row>
    <row r="17" spans="1:23" ht="31.15" customHeight="1" x14ac:dyDescent="0.25">
      <c r="A17" s="85" t="s">
        <v>322</v>
      </c>
      <c r="B17" s="103">
        <v>100</v>
      </c>
      <c r="C17" s="103">
        <v>100</v>
      </c>
      <c r="D17" s="103">
        <v>100</v>
      </c>
      <c r="E17" s="103">
        <v>86.4</v>
      </c>
      <c r="F17" s="225"/>
      <c r="G17" s="238"/>
      <c r="W17" s="238"/>
    </row>
    <row r="18" spans="1:23" ht="78" customHeight="1" x14ac:dyDescent="0.25">
      <c r="A18" s="85" t="s">
        <v>323</v>
      </c>
      <c r="B18" s="103">
        <v>94.2</v>
      </c>
      <c r="C18" s="103">
        <v>100</v>
      </c>
      <c r="D18" s="103">
        <v>100</v>
      </c>
      <c r="E18" s="103">
        <v>93.7</v>
      </c>
      <c r="F18" s="225"/>
      <c r="G18" s="238"/>
      <c r="W18" s="238"/>
    </row>
    <row r="19" spans="1:23" ht="15.6" customHeight="1" x14ac:dyDescent="0.25">
      <c r="A19" s="85" t="s">
        <v>324</v>
      </c>
      <c r="B19" s="103">
        <v>95.2</v>
      </c>
      <c r="C19" s="103">
        <v>100</v>
      </c>
      <c r="D19" s="103">
        <v>100</v>
      </c>
      <c r="E19" s="103">
        <v>93.7</v>
      </c>
      <c r="F19" s="225"/>
      <c r="G19" s="238"/>
      <c r="W19" s="238"/>
    </row>
    <row r="20" spans="1:23" ht="31.15" customHeight="1" x14ac:dyDescent="0.25">
      <c r="A20" s="85" t="s">
        <v>325</v>
      </c>
      <c r="B20" s="103">
        <v>96.8</v>
      </c>
      <c r="C20" s="103">
        <v>100</v>
      </c>
      <c r="D20" s="103">
        <v>100</v>
      </c>
      <c r="E20" s="103">
        <v>95.2</v>
      </c>
      <c r="F20" s="225"/>
      <c r="G20" s="238"/>
      <c r="W20" s="238"/>
    </row>
    <row r="21" spans="1:23" ht="78" customHeight="1" x14ac:dyDescent="0.25">
      <c r="A21" s="85" t="s">
        <v>326</v>
      </c>
      <c r="B21" s="103">
        <v>89.5</v>
      </c>
      <c r="C21" s="103">
        <v>100</v>
      </c>
      <c r="D21" s="103">
        <v>100</v>
      </c>
      <c r="E21" s="103">
        <v>70.5</v>
      </c>
      <c r="F21" s="225"/>
      <c r="G21" s="238"/>
      <c r="W21" s="238"/>
    </row>
    <row r="22" spans="1:23" ht="29.45" customHeight="1" x14ac:dyDescent="0.25">
      <c r="A22" s="85" t="s">
        <v>327</v>
      </c>
      <c r="B22" s="103">
        <v>94.4</v>
      </c>
      <c r="C22" s="103">
        <v>100</v>
      </c>
      <c r="D22" s="103">
        <v>100</v>
      </c>
      <c r="E22" s="103">
        <v>93.2</v>
      </c>
      <c r="F22" s="225"/>
      <c r="G22" s="238"/>
      <c r="W22" s="238"/>
    </row>
    <row r="23" spans="1:23" ht="30" customHeight="1" x14ac:dyDescent="0.25">
      <c r="A23" s="85" t="s">
        <v>328</v>
      </c>
      <c r="B23" s="103">
        <v>100</v>
      </c>
      <c r="C23" s="103">
        <v>100</v>
      </c>
      <c r="D23" s="103">
        <v>100</v>
      </c>
      <c r="E23" s="103">
        <v>95.1</v>
      </c>
      <c r="F23" s="225"/>
      <c r="G23" s="238"/>
      <c r="W23" s="238"/>
    </row>
    <row r="24" spans="1:23" ht="93.6" customHeight="1" x14ac:dyDescent="0.25">
      <c r="A24" s="85" t="s">
        <v>329</v>
      </c>
      <c r="B24" s="103">
        <v>54</v>
      </c>
      <c r="C24" s="103">
        <v>94.7</v>
      </c>
      <c r="D24" s="103">
        <v>97.4</v>
      </c>
      <c r="E24" s="103">
        <v>50.9</v>
      </c>
      <c r="F24" s="225"/>
      <c r="G24" s="238"/>
      <c r="W24" s="238"/>
    </row>
    <row r="25" spans="1:23" ht="46.9" customHeight="1" x14ac:dyDescent="0.25">
      <c r="A25" s="85" t="s">
        <v>330</v>
      </c>
      <c r="B25" s="103">
        <v>91.7</v>
      </c>
      <c r="C25" s="103">
        <v>100</v>
      </c>
      <c r="D25" s="103">
        <v>100</v>
      </c>
      <c r="E25" s="103">
        <v>87.5</v>
      </c>
      <c r="F25" s="225"/>
      <c r="G25" s="238"/>
      <c r="W25" s="238"/>
    </row>
    <row r="26" spans="1:23" x14ac:dyDescent="0.25">
      <c r="G26" s="238"/>
      <c r="W26" s="238"/>
    </row>
    <row r="27" spans="1:23" ht="6" customHeight="1" x14ac:dyDescent="0.25">
      <c r="A27" s="247"/>
      <c r="B27" s="247"/>
      <c r="C27" s="247"/>
      <c r="D27" s="247"/>
      <c r="E27" s="247"/>
      <c r="F27" s="247"/>
      <c r="G27" s="238"/>
      <c r="W27" s="238"/>
    </row>
    <row r="28" spans="1:23" ht="21" customHeight="1" x14ac:dyDescent="0.25">
      <c r="G28" s="238"/>
      <c r="W28" s="238"/>
    </row>
    <row r="29" spans="1:23" ht="18" customHeight="1" x14ac:dyDescent="0.25">
      <c r="G29" s="238"/>
      <c r="W29" s="238"/>
    </row>
    <row r="30" spans="1:23" ht="18" customHeight="1" x14ac:dyDescent="0.25">
      <c r="G30" s="238"/>
      <c r="W30" s="238"/>
    </row>
    <row r="31" spans="1:23" ht="6" customHeight="1" x14ac:dyDescent="0.25">
      <c r="G31" s="238"/>
      <c r="H31" s="237"/>
      <c r="I31" s="238"/>
      <c r="J31" s="238"/>
      <c r="K31" s="238"/>
      <c r="L31" s="238"/>
      <c r="M31" s="238"/>
      <c r="N31" s="238"/>
      <c r="O31" s="238"/>
      <c r="P31" s="238"/>
      <c r="Q31" s="238"/>
      <c r="R31" s="238"/>
      <c r="S31" s="238"/>
      <c r="T31" s="238"/>
      <c r="U31" s="238"/>
      <c r="V31" s="238"/>
      <c r="W31" s="238"/>
    </row>
    <row r="32" spans="1:23" ht="39" customHeight="1" x14ac:dyDescent="0.25"/>
  </sheetData>
  <mergeCells count="11">
    <mergeCell ref="W1:W31"/>
    <mergeCell ref="A2:A3"/>
    <mergeCell ref="E2:E3"/>
    <mergeCell ref="B2:D2"/>
    <mergeCell ref="I5:T5"/>
    <mergeCell ref="H4:V4"/>
    <mergeCell ref="I6:U7"/>
    <mergeCell ref="A27:F27"/>
    <mergeCell ref="G1:G31"/>
    <mergeCell ref="H31:V31"/>
    <mergeCell ref="A1:E1"/>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2:A12"/>
  <sheetViews>
    <sheetView showGridLines="0" workbookViewId="0">
      <selection activeCell="M8" sqref="M8"/>
    </sheetView>
  </sheetViews>
  <sheetFormatPr defaultRowHeight="15" x14ac:dyDescent="0.25"/>
  <cols>
    <col min="1" max="1" width="130" customWidth="1"/>
    <col min="2" max="12" width="1.7109375" customWidth="1"/>
    <col min="18" max="18" width="1.7109375" customWidth="1"/>
  </cols>
  <sheetData>
    <row r="2" spans="1:1" ht="98.1" customHeight="1" x14ac:dyDescent="0.25">
      <c r="A2" s="192" t="s">
        <v>332</v>
      </c>
    </row>
    <row r="4" spans="1:1" ht="98.1" customHeight="1" x14ac:dyDescent="0.25">
      <c r="A4" s="192" t="s">
        <v>333</v>
      </c>
    </row>
    <row r="6" spans="1:1" ht="116.1" customHeight="1" x14ac:dyDescent="0.25">
      <c r="A6" s="192" t="s">
        <v>334</v>
      </c>
    </row>
    <row r="8" spans="1:1" ht="134.1" customHeight="1" x14ac:dyDescent="0.25">
      <c r="A8" s="192" t="s">
        <v>335</v>
      </c>
    </row>
    <row r="10" spans="1:1" ht="152.1" customHeight="1" x14ac:dyDescent="0.25">
      <c r="A10" s="192" t="s">
        <v>336</v>
      </c>
    </row>
    <row r="12" spans="1:1" ht="6" customHeight="1" x14ac:dyDescent="0.25"/>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23</vt:i4>
      </vt:variant>
    </vt:vector>
  </HeadingPairs>
  <TitlesOfParts>
    <vt:vector size="23" baseType="lpstr">
      <vt:lpstr>Содержание</vt:lpstr>
      <vt:lpstr>2.1 Соц-эк показатели ИКТ</vt:lpstr>
      <vt:lpstr>2.1 Показатели по областям</vt:lpstr>
      <vt:lpstr>Затраты ИКТ организаций 2020</vt:lpstr>
      <vt:lpstr>3.2 Отгружено продукции ИКТ</vt:lpstr>
      <vt:lpstr>3.3 Объем данных Интернет</vt:lpstr>
      <vt:lpstr>4.1 Экспорт товаров ИКТ</vt:lpstr>
      <vt:lpstr>4.2 Импорт товаров ИКТ</vt:lpstr>
      <vt:lpstr>4.2 ИКТ по областям</vt:lpstr>
      <vt:lpstr>4.6 Экспорт услуг ИКТ</vt:lpstr>
      <vt:lpstr>4.7 Импорт услуг ИКТ</vt:lpstr>
      <vt:lpstr>4.9 Цели организаций 2020</vt:lpstr>
      <vt:lpstr>5.1 Резиденты ПВТ</vt:lpstr>
      <vt:lpstr>5.2 Финансы ПВТ</vt:lpstr>
      <vt:lpstr>5.6 Затраты ПВТ 2020</vt:lpstr>
      <vt:lpstr>5.7 Отгружено продукции ПВТ</vt:lpstr>
      <vt:lpstr>5.8 Цели населения 2020</vt:lpstr>
      <vt:lpstr>6.1 Сеть передачи данных</vt:lpstr>
      <vt:lpstr>6.3 Доступ физлиц к Интернет</vt:lpstr>
      <vt:lpstr>7.1 Работники, использ. ПК</vt:lpstr>
      <vt:lpstr>7.2 Использование ИКТ орг</vt:lpstr>
      <vt:lpstr>7.3 ИКТ по видам деят-ти 2020</vt:lpstr>
      <vt:lpstr>Выводы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Andrei Karas</cp:lastModifiedBy>
  <dcterms:created xsi:type="dcterms:W3CDTF">2015-06-05T18:19:34Z</dcterms:created>
  <dcterms:modified xsi:type="dcterms:W3CDTF">2026-09-28T20:22:48Z</dcterms:modified>
</cp:coreProperties>
</file>