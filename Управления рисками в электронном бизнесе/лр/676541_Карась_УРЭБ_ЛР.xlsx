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Files\Учеба\Магистратура\Управления рисками в электронном бизнесе\лр\"/>
    </mc:Choice>
  </mc:AlternateContent>
  <xr:revisionPtr revIDLastSave="0" documentId="13_ncr:1_{3E3A4842-1929-404E-A9D1-62ABAF15EC5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Задание 1" sheetId="1" r:id="rId1"/>
    <sheet name="Задание 2" sheetId="2" r:id="rId2"/>
    <sheet name="Задание 3" sheetId="3" r:id="rId3"/>
  </sheets>
  <definedNames>
    <definedName name="_xlnm._FilterDatabase" localSheetId="1" hidden="1">'Задание 2'!$A$5:$B$36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3" l="1"/>
  <c r="G27" i="3"/>
  <c r="C27" i="3"/>
  <c r="G26" i="3"/>
  <c r="C26" i="3"/>
  <c r="E26" i="3" s="1"/>
  <c r="G25" i="3"/>
  <c r="C25" i="3"/>
  <c r="G24" i="3"/>
  <c r="C24" i="3"/>
  <c r="E24" i="3" s="1"/>
  <c r="G23" i="3"/>
  <c r="C23" i="3"/>
  <c r="F23" i="3" s="1"/>
  <c r="G22" i="3"/>
  <c r="C22" i="3"/>
  <c r="G21" i="3"/>
  <c r="C21" i="3"/>
  <c r="E21" i="3" s="1"/>
  <c r="G20" i="3"/>
  <c r="C20" i="3"/>
  <c r="E20" i="3" s="1"/>
  <c r="G19" i="3"/>
  <c r="C19" i="3"/>
  <c r="G18" i="3"/>
  <c r="C18" i="3"/>
  <c r="E18" i="3" s="1"/>
  <c r="G17" i="3"/>
  <c r="C17" i="3"/>
  <c r="E17" i="3" s="1"/>
  <c r="G16" i="3"/>
  <c r="C16" i="3"/>
  <c r="G15" i="3"/>
  <c r="C15" i="3"/>
  <c r="E15" i="3" s="1"/>
  <c r="G14" i="3"/>
  <c r="C14" i="3"/>
  <c r="G13" i="3"/>
  <c r="C13" i="3"/>
  <c r="G12" i="3"/>
  <c r="C12" i="3"/>
  <c r="E12" i="3" s="1"/>
  <c r="G11" i="3"/>
  <c r="C11" i="3"/>
  <c r="G10" i="3"/>
  <c r="C10" i="3"/>
  <c r="G9" i="3"/>
  <c r="C9" i="3"/>
  <c r="G8" i="3"/>
  <c r="C8" i="3"/>
  <c r="G7" i="3"/>
  <c r="C7" i="3"/>
  <c r="G6" i="3"/>
  <c r="C6" i="3"/>
  <c r="E6" i="3" s="1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F9" i="3" l="1"/>
  <c r="F14" i="3"/>
  <c r="F8" i="3"/>
  <c r="F11" i="3"/>
  <c r="F20" i="3"/>
  <c r="F26" i="3"/>
  <c r="F25" i="3"/>
  <c r="F6" i="3"/>
  <c r="F19" i="3"/>
  <c r="E23" i="3"/>
  <c r="F27" i="3"/>
  <c r="F13" i="3"/>
  <c r="F17" i="3"/>
  <c r="F22" i="3"/>
  <c r="E11" i="3"/>
  <c r="E27" i="3"/>
  <c r="E9" i="3"/>
  <c r="E14" i="3"/>
  <c r="E8" i="3"/>
  <c r="F10" i="3"/>
  <c r="G28" i="3"/>
  <c r="F7" i="3"/>
  <c r="F16" i="3"/>
  <c r="F12" i="3"/>
  <c r="F15" i="3"/>
  <c r="F18" i="3"/>
  <c r="F21" i="3"/>
  <c r="F24" i="3"/>
  <c r="C28" i="3"/>
  <c r="E28" i="3" s="1"/>
  <c r="E7" i="3"/>
  <c r="E10" i="3"/>
  <c r="E13" i="3"/>
  <c r="E16" i="3"/>
  <c r="E19" i="3"/>
  <c r="E22" i="3"/>
  <c r="E25" i="3"/>
  <c r="F28" i="3" l="1"/>
</calcChain>
</file>

<file path=xl/sharedStrings.xml><?xml version="1.0" encoding="utf-8"?>
<sst xmlns="http://schemas.openxmlformats.org/spreadsheetml/2006/main" count="140" uniqueCount="133">
  <si>
    <t>Показатель</t>
  </si>
  <si>
    <t>Определение</t>
  </si>
  <si>
    <t>Формула</t>
  </si>
  <si>
    <t>Расчет в Excel (функция)</t>
  </si>
  <si>
    <t>1. Среднее</t>
  </si>
  <si>
    <t>=СРЗНАЧ()</t>
  </si>
  <si>
    <t>2. Стандартная ошибка</t>
  </si>
  <si>
    <t>Отражает погрешность выборочной оценки среднего. Чем она меньше, тем надёжнее выборочное среднее воспроизводит среднее генеральной совокупности.</t>
  </si>
  <si>
    <t>=СТАНДОТКЛОН.В()/КОРЕНЬ(СЧЁТ())</t>
  </si>
  <si>
    <t>3. Медиана</t>
  </si>
  <si>
    <t>=МЕДИАНА()</t>
  </si>
  <si>
    <t>4. Мода</t>
  </si>
  <si>
    <t>Значение признака с наибольшей частотой в изучаемой совокупности. Если все варианты встречаются одинаково часто, мода не определяется.</t>
  </si>
  <si>
    <t>=МОДА.ОДН()</t>
  </si>
  <si>
    <t>5. Выборочная дисперсия</t>
  </si>
  <si>
    <t>=ДИСП.В()</t>
  </si>
  <si>
    <t>6. Среднее квадратичное отклонение</t>
  </si>
  <si>
    <t>=СТАНДОТКЛОН.В()</t>
  </si>
  <si>
    <t>7. Эксцесс</t>
  </si>
  <si>
    <t>Мера крутости вершины и выраженности «хвостов» распределения по сравнению с нормальным законом. Положительные значения указывают на скопление наблюдений вблизи центра и утяжелённые хвосты, отрицательные — на уплощённую форму.</t>
  </si>
  <si>
    <t>=ЭКСЦЕСС()</t>
  </si>
  <si>
    <t>8. Коэффициент асимметрии</t>
  </si>
  <si>
    <t>=СКОС()</t>
  </si>
  <si>
    <t>9. Размах выборки</t>
  </si>
  <si>
    <t>=МАКС()-МИН()</t>
  </si>
  <si>
    <t>10. Максимальное значение выборки</t>
  </si>
  <si>
    <t>=МАКС()</t>
  </si>
  <si>
    <t>11. Минимальное значение выборки</t>
  </si>
  <si>
    <t>=МИН()</t>
  </si>
  <si>
    <t>12. Сумма всех значений выборки</t>
  </si>
  <si>
    <t>=СУММ()</t>
  </si>
  <si>
    <t>13. Объем выборки</t>
  </si>
  <si>
    <t>=СЧЁТ()</t>
  </si>
  <si>
    <t>Дата</t>
  </si>
  <si>
    <t>Выручка, руб.</t>
  </si>
  <si>
    <t>Более 400 000 руб./день</t>
  </si>
  <si>
    <t>Менее 300 000 руб./день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</si>
  <si>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</si>
  <si>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</si>
  <si>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</si>
  <si>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</si>
  <si>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</si>
  <si>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</si>
  <si>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</si>
  <si>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</si>
  <si>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</si>
  <si>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</si>
  <si>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</si>
  <si>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</si>
  <si>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</si>
  <si>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Значение</t>
  </si>
  <si>
    <t>Интерпретация</t>
  </si>
  <si>
    <t>1. Сумма продаж за месяц</t>
  </si>
  <si>
    <t>2. Максимальная дневная выручка</t>
  </si>
  <si>
    <t>3. Минимальная дневная выручка</t>
  </si>
  <si>
    <t>4. Средняя дневная выручка</t>
  </si>
  <si>
    <t>5.1. Выручка более 400 000 руб./день (сумма)</t>
  </si>
  <si>
    <t>Дней с выручкой свыше 400 000 руб. в мае не оказалось: лучшая дневная выручка месяца (287 162 руб.) не достигла этого порога, поэтому сумма по выборке равна нулю.</t>
  </si>
  <si>
    <t>5.2. Выручка менее 300 000 руб./день (сумма)</t>
  </si>
  <si>
    <t>6.1. Среднее</t>
  </si>
  <si>
    <t>6.2. Стандартная ошибка</t>
  </si>
  <si>
    <t>Ошибка среднего составляет примерно 2,5 % от среднего уровня выручки, поэтому выборочное среднее определено достаточно надёжно.</t>
  </si>
  <si>
    <t>6.3. Медиана</t>
  </si>
  <si>
    <t>6.4. Мода</t>
  </si>
  <si>
    <t>6.5. Выборочная дисперсия</t>
  </si>
  <si>
    <t>6.6. Среднее квадратичное отклонение</t>
  </si>
  <si>
    <t>Дневная выручка в среднем расходится со средней на 28,7 тыс. руб., что соответствует коэффициенту вариации около 14 % и говорит об умеренной изменчивости продаж.</t>
  </si>
  <si>
    <t>6.7. Эксцесс</t>
  </si>
  <si>
    <t>6.8. Коэффициент асимметрии</t>
  </si>
  <si>
    <t>6.9. Размах выборки</t>
  </si>
  <si>
    <t>6.10. Максимальное значение выборки</t>
  </si>
  <si>
    <t>6.11. Минимальное значение выборки</t>
  </si>
  <si>
    <t>6.12. Сумма всех значений выборки</t>
  </si>
  <si>
    <t>6.13. Объем выборки</t>
  </si>
  <si>
    <t>Наименование</t>
  </si>
  <si>
    <t>Сумма продаж за месяц</t>
  </si>
  <si>
    <t>Прирост %</t>
  </si>
  <si>
    <t>% за месяц</t>
  </si>
  <si>
    <t>апрель</t>
  </si>
  <si>
    <t>май</t>
  </si>
  <si>
    <t>Windows 7 Home</t>
  </si>
  <si>
    <t>Windows 7 Proff</t>
  </si>
  <si>
    <t>Windows 8.1 OEM</t>
  </si>
  <si>
    <t>Windows 8.1 Home</t>
  </si>
  <si>
    <t>Windows 8.1 Prof</t>
  </si>
  <si>
    <t>Windows server 2008</t>
  </si>
  <si>
    <t>Microsoft office student</t>
  </si>
  <si>
    <t>Microsoft office prof</t>
  </si>
  <si>
    <t>Mathcad 15</t>
  </si>
  <si>
    <t>Matlab 8</t>
  </si>
  <si>
    <t>Mathematica</t>
  </si>
  <si>
    <t>Microwave office</t>
  </si>
  <si>
    <t>Supernec</t>
  </si>
  <si>
    <t>Visual Studio 2010</t>
  </si>
  <si>
    <t>Kaspersky Internet Security 2008</t>
  </si>
  <si>
    <t>World of Warcraft</t>
  </si>
  <si>
    <t>Oblivion</t>
  </si>
  <si>
    <t>Skyrim</t>
  </si>
  <si>
    <t>Следствие ведут колобки</t>
  </si>
  <si>
    <t>Sniper Elite</t>
  </si>
  <si>
    <t>Assassins</t>
  </si>
  <si>
    <t>Prince of Persia</t>
  </si>
  <si>
    <t>Всего</t>
  </si>
  <si>
    <t>Вывод. В мае продажи по большинству групп программных продуктов снизились: суммарный объём уменьшился с 10 795 775 до 10 234 542 руб., или на 5,20 %. Рост показался лишь по единичным позициям — сильнее всех у Visual Studio 2010 (+57,91 %), также прибавили Windows 8.1 OEM (+17,14 %) и Windows 7 Home (+16,56 %). Глубже всего продажи упали у Mathematica (−25,33 %), Windows server 2008 (−25,03 %) и Kaspersky Internet Security 2008 (−25,01 %). Доли отдельных групп в общей сумме месячных продаж изменились мало, структура спроса осталась практически прежней.</t>
  </si>
  <si>
    <t>Значения, полученные через "Анализ данных" -&gt; "Описательная статистика"</t>
  </si>
  <si>
    <t>Вариант 2</t>
  </si>
  <si>
    <t>Вариант 2: значения за апрель увеличены на 10 ед.</t>
  </si>
  <si>
    <t>Cуммарная величина всех наблюдений, поделённая на их количество.</t>
  </si>
  <si>
    <t>Центральное значение упорядоченного ряда наблюдений. Половина значений не превышает его, другая половина - не меньше него.</t>
  </si>
  <si>
    <t>Типичное отклонение отдельных наблюдений от среднего арифметического.</t>
  </si>
  <si>
    <t>Мера рассеяния наблюдений вокруг их среднего.</t>
  </si>
  <si>
    <t>Показатель скошенности распределения и её направления. Значение, близкое к нулю, отвечает симметричной форме, положительное - смещению значений влево и длинному правому хвосту, отрицательное - противоположно положительному (левосторонняя ассиметрия).</t>
  </si>
  <si>
    <t>Интервал варьирования признака</t>
  </si>
  <si>
    <t>Предельное нижнее значение признака среди всех значений.</t>
  </si>
  <si>
    <t>Предельное верхнее значение признака среди всех значений.</t>
  </si>
  <si>
    <t>Число единиц наблюдения.</t>
  </si>
  <si>
    <t>Накопленный итог по всем наблюдениям.</t>
  </si>
  <si>
    <t xml:space="preserve">Совокупная выручка приложения за май 2014 г. - 6 379 839 руб. </t>
  </si>
  <si>
    <t>Пик выручки пришёлся на 20.05.2014 - 287 162 руб., что на 39,5 % выше среднедневного уровня и выделяет этот день как наиболее удачный по продажам.</t>
  </si>
  <si>
    <t>Худшим днем месяца является 24.05.2014: выручка опустилась до 152 619 руб., примерно на 25,8 % ниже средней, что указывает на заметный провал спроса в этот день.</t>
  </si>
  <si>
    <t>Среднедневной доход приложения составил около 205,8 тыс. руб.</t>
  </si>
  <si>
    <t>Ни один из 31 дня не преодолел отметку 300 000 руб., поэтому сумма выборки совпадает с итогом месячных продаж.</t>
  </si>
  <si>
    <t>Уровень дневной выручки за месяц держался около 205,8 тыс. руб.</t>
  </si>
  <si>
    <t>Середина распределения приходится на 201 921 руб.: половина дней месяца завершилась с выручкой ниже этой отметки, половина - выше. Близость медианы к среднему (205 801 руб.) говорит об устойчивости центральной части распределения.</t>
  </si>
  <si>
    <t>#Н/Д является корректным итогом поиска моды: каждое значение выручки встретилось лишь однажды, поэтому наиболее частого значения в выборке нет.</t>
  </si>
  <si>
    <t>Характеризует изменчивость продаж.</t>
  </si>
  <si>
    <t>Распределение заметно острее нормального: большинство дней группируется около среднего уровня, а «хвосты» формируют единичные дни с повышенной выручкой (20 и 12 мая).</t>
  </si>
  <si>
    <t>Указывает на заметный скос вправо: преобладающие дни со средней и низкой выручкой дополняются несколькими высокими значениями, растягивающими распределение в правую сторону.</t>
  </si>
  <si>
    <t>Между лучшим и худшим днями месяца разница составила 134 543 руб. - умеренный коридор колебаний дневной выручки.</t>
  </si>
  <si>
    <t>Нижняя граница дневной выручки за месяц.</t>
  </si>
  <si>
    <t>Верхняя граница дневной выручки за месяц.</t>
  </si>
  <si>
    <t>Итог по всем 31 наблюдениям.</t>
  </si>
  <si>
    <t>Выборка охватывает все календарные дни мая 2014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</si>
</sst>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8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" fontId="3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0" fontId="3" fillId="0" borderId="15" xfId="0" applyFont="1" applyBorder="1" applyAlignment="1">
      <alignment horizontal="center" vertical="center" wrapText="1"/>
    </xf>
    <xf numFmtId="4" fontId="3" fillId="0" borderId="16" xfId="0" applyNumberFormat="1" applyFont="1" applyBorder="1" applyAlignment="1">
      <alignment horizontal="center" vertical="center" wrapText="1"/>
    </xf>
    <xf numFmtId="3" fontId="3" fillId="0" borderId="16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65" fontId="3" fillId="0" borderId="16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" fontId="3" fillId="0" borderId="18" xfId="0" applyNumberFormat="1" applyFont="1" applyBorder="1" applyAlignment="1">
      <alignment horizontal="center" vertical="center" wrapText="1"/>
    </xf>
    <xf numFmtId="0" fontId="0" fillId="0" borderId="19" xfId="0" applyBorder="1"/>
    <xf numFmtId="0" fontId="3" fillId="0" borderId="18" xfId="0" applyFont="1" applyBorder="1" applyAlignment="1">
      <alignment horizontal="center" vertical="center" wrapText="1"/>
    </xf>
    <xf numFmtId="1" fontId="3" fillId="0" borderId="20" xfId="0" applyNumberFormat="1" applyFont="1" applyBorder="1" applyAlignment="1">
      <alignment horizontal="center" vertical="center" wrapText="1"/>
    </xf>
    <xf numFmtId="0" fontId="0" fillId="0" borderId="21" xfId="0" applyBorder="1"/>
    <xf numFmtId="0" fontId="3" fillId="0" borderId="22" xfId="0" applyFont="1" applyBorder="1" applyAlignment="1">
      <alignment horizontal="center" vertical="center" wrapText="1"/>
    </xf>
    <xf numFmtId="4" fontId="3" fillId="0" borderId="2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 sz="1400"/>
            </a:pPr>
            <a:r>
              <a:rPr lang="ru-RU" sz="1400"/>
              <a:t>Выручка от продаж </a:t>
            </a:r>
            <a:r>
              <a:rPr lang="en-US" sz="1400"/>
              <a:t>Angry Birds Premium </a:t>
            </a:r>
            <a:r>
              <a:rPr lang="ru-RU" sz="1400"/>
              <a:t>за май 2014 г.</a:t>
            </a:r>
          </a:p>
        </c:rich>
      </c:tx>
      <c:layout>
        <c:manualLayout>
          <c:xMode val="edge"/>
          <c:yMode val="edge"/>
          <c:x val="0.35379150387254432"/>
          <c:y val="6.518516997721318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651107460227613E-2"/>
          <c:y val="3.2534856219895589E-2"/>
          <c:w val="0.91063106595060261"/>
          <c:h val="0.82227764148854943"/>
        </c:manualLayout>
      </c:layout>
      <c:lineChart>
        <c:grouping val="standard"/>
        <c:varyColors val="0"/>
        <c:ser>
          <c:idx val="0"/>
          <c:order val="0"/>
          <c:tx>
            <c:strRef>
              <c:f>'Задание 2'!$B$5</c:f>
              <c:strCache>
                <c:ptCount val="1"/>
                <c:pt idx="0">
                  <c:v>Выручка, руб.</c:v>
                </c:pt>
              </c:strCache>
            </c:strRef>
          </c:tx>
          <c:cat>
            <c:numRef>
              <c:f>'Задание 2'!$A$6:$A$36</c:f>
              <c:numCache>
                <c:formatCode>dd\.mm\.yyyy</c:formatCode>
                <c:ptCount val="31"/>
                <c:pt idx="0">
                  <c:v>41760</c:v>
                </c:pt>
                <c:pt idx="1">
                  <c:v>41761</c:v>
                </c:pt>
                <c:pt idx="2">
                  <c:v>41762</c:v>
                </c:pt>
                <c:pt idx="3">
                  <c:v>41763</c:v>
                </c:pt>
                <c:pt idx="4">
                  <c:v>41764</c:v>
                </c:pt>
                <c:pt idx="5">
                  <c:v>41765</c:v>
                </c:pt>
                <c:pt idx="6">
                  <c:v>41766</c:v>
                </c:pt>
                <c:pt idx="7">
                  <c:v>41767</c:v>
                </c:pt>
                <c:pt idx="8">
                  <c:v>41768</c:v>
                </c:pt>
                <c:pt idx="9">
                  <c:v>41769</c:v>
                </c:pt>
                <c:pt idx="10">
                  <c:v>41770</c:v>
                </c:pt>
                <c:pt idx="11">
                  <c:v>41771</c:v>
                </c:pt>
                <c:pt idx="12">
                  <c:v>41772</c:v>
                </c:pt>
                <c:pt idx="13">
                  <c:v>41773</c:v>
                </c:pt>
                <c:pt idx="14">
                  <c:v>41774</c:v>
                </c:pt>
                <c:pt idx="15">
                  <c:v>41775</c:v>
                </c:pt>
                <c:pt idx="16">
                  <c:v>41776</c:v>
                </c:pt>
                <c:pt idx="17">
                  <c:v>41777</c:v>
                </c:pt>
                <c:pt idx="18">
                  <c:v>41778</c:v>
                </c:pt>
                <c:pt idx="19">
                  <c:v>41779</c:v>
                </c:pt>
                <c:pt idx="20">
                  <c:v>41780</c:v>
                </c:pt>
                <c:pt idx="21">
                  <c:v>41781</c:v>
                </c:pt>
                <c:pt idx="22">
                  <c:v>41782</c:v>
                </c:pt>
                <c:pt idx="23">
                  <c:v>41783</c:v>
                </c:pt>
                <c:pt idx="24">
                  <c:v>41784</c:v>
                </c:pt>
                <c:pt idx="25">
                  <c:v>41785</c:v>
                </c:pt>
                <c:pt idx="26">
                  <c:v>41786</c:v>
                </c:pt>
                <c:pt idx="27">
                  <c:v>41787</c:v>
                </c:pt>
                <c:pt idx="28">
                  <c:v>41788</c:v>
                </c:pt>
                <c:pt idx="29">
                  <c:v>41789</c:v>
                </c:pt>
                <c:pt idx="30">
                  <c:v>41790</c:v>
                </c:pt>
              </c:numCache>
            </c:numRef>
          </c:cat>
          <c:val>
            <c:numRef>
              <c:f>'Задание 2'!$B$6:$B$36</c:f>
              <c:numCache>
                <c:formatCode>#,##0</c:formatCode>
                <c:ptCount val="31"/>
                <c:pt idx="0">
                  <c:v>186599</c:v>
                </c:pt>
                <c:pt idx="1">
                  <c:v>211214</c:v>
                </c:pt>
                <c:pt idx="2">
                  <c:v>179356</c:v>
                </c:pt>
                <c:pt idx="3">
                  <c:v>210122</c:v>
                </c:pt>
                <c:pt idx="4">
                  <c:v>205208</c:v>
                </c:pt>
                <c:pt idx="5">
                  <c:v>175654</c:v>
                </c:pt>
                <c:pt idx="6">
                  <c:v>166617</c:v>
                </c:pt>
                <c:pt idx="7">
                  <c:v>190185</c:v>
                </c:pt>
                <c:pt idx="8">
                  <c:v>233444</c:v>
                </c:pt>
                <c:pt idx="9">
                  <c:v>221200</c:v>
                </c:pt>
                <c:pt idx="10">
                  <c:v>224456</c:v>
                </c:pt>
                <c:pt idx="11">
                  <c:v>276819</c:v>
                </c:pt>
                <c:pt idx="12">
                  <c:v>199988</c:v>
                </c:pt>
                <c:pt idx="13">
                  <c:v>178167</c:v>
                </c:pt>
                <c:pt idx="14">
                  <c:v>187815</c:v>
                </c:pt>
                <c:pt idx="15">
                  <c:v>167281</c:v>
                </c:pt>
                <c:pt idx="16">
                  <c:v>190189</c:v>
                </c:pt>
                <c:pt idx="17">
                  <c:v>211201</c:v>
                </c:pt>
                <c:pt idx="18">
                  <c:v>201388</c:v>
                </c:pt>
                <c:pt idx="19">
                  <c:v>287162</c:v>
                </c:pt>
                <c:pt idx="20">
                  <c:v>233234</c:v>
                </c:pt>
                <c:pt idx="21">
                  <c:v>219121</c:v>
                </c:pt>
                <c:pt idx="22">
                  <c:v>218178</c:v>
                </c:pt>
                <c:pt idx="23">
                  <c:v>152619</c:v>
                </c:pt>
                <c:pt idx="24">
                  <c:v>198198</c:v>
                </c:pt>
                <c:pt idx="25">
                  <c:v>210928</c:v>
                </c:pt>
                <c:pt idx="26">
                  <c:v>201921</c:v>
                </c:pt>
                <c:pt idx="27">
                  <c:v>220291</c:v>
                </c:pt>
                <c:pt idx="28">
                  <c:v>201920</c:v>
                </c:pt>
                <c:pt idx="29">
                  <c:v>229182</c:v>
                </c:pt>
                <c:pt idx="30">
                  <c:v>190182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CC-465C-A495-B2970F7A2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ru-RU" sz="1400"/>
                  <a:t>Дата</a:t>
                </a:r>
              </a:p>
            </c:rich>
          </c:tx>
          <c:overlay val="1"/>
        </c:title>
        <c:numFmt formatCode="dd\.mm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ru-RU" sz="1400"/>
                  <a:t>Выручка, руб.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Продажи по группам продуктов за апрель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621520861503103"/>
          <c:y val="8.4155161078238006E-2"/>
          <c:w val="0.87181294995221736"/>
          <c:h val="0.62421096771187623"/>
        </c:manualLayout>
      </c:layout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'Задание 3'!$B$6:$B$27</c:f>
              <c:strCache>
                <c:ptCount val="22"/>
                <c:pt idx="0">
                  <c:v>Windows 7 Home</c:v>
                </c:pt>
                <c:pt idx="1">
                  <c:v>Windows 7 Proff</c:v>
                </c:pt>
                <c:pt idx="2">
                  <c:v>Windows 8.1 OEM</c:v>
                </c:pt>
                <c:pt idx="3">
                  <c:v>Windows 8.1 Home</c:v>
                </c:pt>
                <c:pt idx="4">
                  <c:v>Windows 8.1 Prof</c:v>
                </c:pt>
                <c:pt idx="5">
                  <c:v>Windows server 2008</c:v>
                </c:pt>
                <c:pt idx="6">
                  <c:v>Microsoft office student</c:v>
                </c:pt>
                <c:pt idx="7">
                  <c:v>Microsoft office prof</c:v>
                </c:pt>
                <c:pt idx="8">
                  <c:v>Mathcad 15</c:v>
                </c:pt>
                <c:pt idx="9">
                  <c:v>Matlab 8</c:v>
                </c:pt>
                <c:pt idx="10">
                  <c:v>Mathematica</c:v>
                </c:pt>
                <c:pt idx="11">
                  <c:v>Microwave office</c:v>
                </c:pt>
                <c:pt idx="12">
                  <c:v>Supernec</c:v>
                </c:pt>
                <c:pt idx="13">
                  <c:v>Visual Studio 2010</c:v>
                </c:pt>
                <c:pt idx="14">
                  <c:v>Kaspersky Internet Security 2008</c:v>
                </c:pt>
                <c:pt idx="15">
                  <c:v>World of Warcraft</c:v>
                </c:pt>
                <c:pt idx="16">
                  <c:v>Oblivion</c:v>
                </c:pt>
                <c:pt idx="17">
                  <c:v>Skyrim</c:v>
                </c:pt>
                <c:pt idx="18">
                  <c:v>Следствие ведут колобки</c:v>
                </c:pt>
                <c:pt idx="19">
                  <c:v>Sniper Elite</c:v>
                </c:pt>
                <c:pt idx="20">
                  <c:v>Assassins</c:v>
                </c:pt>
                <c:pt idx="21">
                  <c:v>Prince of Persia</c:v>
                </c:pt>
              </c:strCache>
            </c:strRef>
          </c:cat>
          <c:val>
            <c:numRef>
              <c:f>'Задание 3'!$C$6:$C$27</c:f>
              <c:numCache>
                <c:formatCode>#,##0</c:formatCode>
                <c:ptCount val="22"/>
                <c:pt idx="0">
                  <c:v>1725328</c:v>
                </c:pt>
                <c:pt idx="1">
                  <c:v>739824</c:v>
                </c:pt>
                <c:pt idx="2">
                  <c:v>644938</c:v>
                </c:pt>
                <c:pt idx="3">
                  <c:v>351302</c:v>
                </c:pt>
                <c:pt idx="4">
                  <c:v>1033920</c:v>
                </c:pt>
                <c:pt idx="5">
                  <c:v>367334</c:v>
                </c:pt>
                <c:pt idx="6">
                  <c:v>86792</c:v>
                </c:pt>
                <c:pt idx="7">
                  <c:v>467978</c:v>
                </c:pt>
                <c:pt idx="8">
                  <c:v>1166828</c:v>
                </c:pt>
                <c:pt idx="9">
                  <c:v>878450</c:v>
                </c:pt>
                <c:pt idx="10">
                  <c:v>143592</c:v>
                </c:pt>
                <c:pt idx="11">
                  <c:v>272199</c:v>
                </c:pt>
                <c:pt idx="12">
                  <c:v>1322677</c:v>
                </c:pt>
                <c:pt idx="13">
                  <c:v>10278</c:v>
                </c:pt>
                <c:pt idx="14">
                  <c:v>52019</c:v>
                </c:pt>
                <c:pt idx="15">
                  <c:v>453148</c:v>
                </c:pt>
                <c:pt idx="16">
                  <c:v>695940</c:v>
                </c:pt>
                <c:pt idx="17">
                  <c:v>67626</c:v>
                </c:pt>
                <c:pt idx="18">
                  <c:v>14291</c:v>
                </c:pt>
                <c:pt idx="19">
                  <c:v>41080</c:v>
                </c:pt>
                <c:pt idx="20">
                  <c:v>210102</c:v>
                </c:pt>
                <c:pt idx="21">
                  <c:v>50129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D-4B8D-83AB-20451F54E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94700783"/>
        <c:axId val="717874031"/>
      </c:barChart>
      <c:catAx>
        <c:axId val="16947007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7874031"/>
        <c:crosses val="autoZero"/>
        <c:auto val="1"/>
        <c:lblAlgn val="ctr"/>
        <c:lblOffset val="100"/>
        <c:noMultiLvlLbl val="0"/>
      </c:catAx>
      <c:valAx>
        <c:axId val="717874031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694700783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Продажи по группам продуктов за май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6598847407553243E-2"/>
          <c:y val="0.11457724867724868"/>
          <c:w val="0.88435353094774938"/>
          <c:h val="0.49604417989417998"/>
        </c:manualLayout>
      </c:layout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'Задание 3'!$B$6:$B$27</c:f>
              <c:strCache>
                <c:ptCount val="22"/>
                <c:pt idx="0">
                  <c:v>Windows 7 Home</c:v>
                </c:pt>
                <c:pt idx="1">
                  <c:v>Windows 7 Proff</c:v>
                </c:pt>
                <c:pt idx="2">
                  <c:v>Windows 8.1 OEM</c:v>
                </c:pt>
                <c:pt idx="3">
                  <c:v>Windows 8.1 Home</c:v>
                </c:pt>
                <c:pt idx="4">
                  <c:v>Windows 8.1 Prof</c:v>
                </c:pt>
                <c:pt idx="5">
                  <c:v>Windows server 2008</c:v>
                </c:pt>
                <c:pt idx="6">
                  <c:v>Microsoft office student</c:v>
                </c:pt>
                <c:pt idx="7">
                  <c:v>Microsoft office prof</c:v>
                </c:pt>
                <c:pt idx="8">
                  <c:v>Mathcad 15</c:v>
                </c:pt>
                <c:pt idx="9">
                  <c:v>Matlab 8</c:v>
                </c:pt>
                <c:pt idx="10">
                  <c:v>Mathematica</c:v>
                </c:pt>
                <c:pt idx="11">
                  <c:v>Microwave office</c:v>
                </c:pt>
                <c:pt idx="12">
                  <c:v>Supernec</c:v>
                </c:pt>
                <c:pt idx="13">
                  <c:v>Visual Studio 2010</c:v>
                </c:pt>
                <c:pt idx="14">
                  <c:v>Kaspersky Internet Security 2008</c:v>
                </c:pt>
                <c:pt idx="15">
                  <c:v>World of Warcraft</c:v>
                </c:pt>
                <c:pt idx="16">
                  <c:v>Oblivion</c:v>
                </c:pt>
                <c:pt idx="17">
                  <c:v>Skyrim</c:v>
                </c:pt>
                <c:pt idx="18">
                  <c:v>Следствие ведут колобки</c:v>
                </c:pt>
                <c:pt idx="19">
                  <c:v>Sniper Elite</c:v>
                </c:pt>
                <c:pt idx="20">
                  <c:v>Assassins</c:v>
                </c:pt>
                <c:pt idx="21">
                  <c:v>Prince of Persia</c:v>
                </c:pt>
              </c:strCache>
            </c:strRef>
          </c:cat>
          <c:val>
            <c:numRef>
              <c:f>'Задание 3'!$D$6:$D$27</c:f>
              <c:numCache>
                <c:formatCode>#,##0</c:formatCode>
                <c:ptCount val="22"/>
                <c:pt idx="0">
                  <c:v>2011069</c:v>
                </c:pt>
                <c:pt idx="1">
                  <c:v>668870</c:v>
                </c:pt>
                <c:pt idx="2">
                  <c:v>755480</c:v>
                </c:pt>
                <c:pt idx="3">
                  <c:v>385912</c:v>
                </c:pt>
                <c:pt idx="4">
                  <c:v>893503</c:v>
                </c:pt>
                <c:pt idx="5">
                  <c:v>275392</c:v>
                </c:pt>
                <c:pt idx="6">
                  <c:v>80484</c:v>
                </c:pt>
                <c:pt idx="7">
                  <c:v>351358</c:v>
                </c:pt>
                <c:pt idx="8">
                  <c:v>1073958</c:v>
                </c:pt>
                <c:pt idx="9">
                  <c:v>814262</c:v>
                </c:pt>
                <c:pt idx="10">
                  <c:v>107220</c:v>
                </c:pt>
                <c:pt idx="11">
                  <c:v>260851</c:v>
                </c:pt>
                <c:pt idx="12">
                  <c:v>1112995</c:v>
                </c:pt>
                <c:pt idx="13">
                  <c:v>16230</c:v>
                </c:pt>
                <c:pt idx="14">
                  <c:v>39009</c:v>
                </c:pt>
                <c:pt idx="15">
                  <c:v>382602</c:v>
                </c:pt>
                <c:pt idx="16">
                  <c:v>667225</c:v>
                </c:pt>
                <c:pt idx="17">
                  <c:v>56855</c:v>
                </c:pt>
                <c:pt idx="18">
                  <c:v>11032</c:v>
                </c:pt>
                <c:pt idx="19">
                  <c:v>44360</c:v>
                </c:pt>
                <c:pt idx="20">
                  <c:v>188136</c:v>
                </c:pt>
                <c:pt idx="21">
                  <c:v>37739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4-484C-A89B-8726D00A9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96325983"/>
        <c:axId val="717871151"/>
      </c:barChart>
      <c:catAx>
        <c:axId val="1696325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7871151"/>
        <c:crosses val="autoZero"/>
        <c:auto val="1"/>
        <c:lblAlgn val="ctr"/>
        <c:lblOffset val="100"/>
        <c:noMultiLvlLbl val="0"/>
      </c:catAx>
      <c:valAx>
        <c:axId val="717871151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696325983"/>
        <c:crosses val="autoZero"/>
        <c:crossBetween val="between"/>
        <c:majorUnit val="200000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Прирост продаж в мае по сравнению с апрелем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3871846382965237"/>
          <c:y val="7.8395061728395068E-2"/>
          <c:w val="0.73770778541778892"/>
          <c:h val="0.85614074074074065"/>
        </c:manualLayout>
      </c:layout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'Задание 3'!$B$6:$B$27</c:f>
              <c:strCache>
                <c:ptCount val="22"/>
                <c:pt idx="0">
                  <c:v>Windows 7 Home</c:v>
                </c:pt>
                <c:pt idx="1">
                  <c:v>Windows 7 Proff</c:v>
                </c:pt>
                <c:pt idx="2">
                  <c:v>Windows 8.1 OEM</c:v>
                </c:pt>
                <c:pt idx="3">
                  <c:v>Windows 8.1 Home</c:v>
                </c:pt>
                <c:pt idx="4">
                  <c:v>Windows 8.1 Prof</c:v>
                </c:pt>
                <c:pt idx="5">
                  <c:v>Windows server 2008</c:v>
                </c:pt>
                <c:pt idx="6">
                  <c:v>Microsoft office student</c:v>
                </c:pt>
                <c:pt idx="7">
                  <c:v>Microsoft office prof</c:v>
                </c:pt>
                <c:pt idx="8">
                  <c:v>Mathcad 15</c:v>
                </c:pt>
                <c:pt idx="9">
                  <c:v>Matlab 8</c:v>
                </c:pt>
                <c:pt idx="10">
                  <c:v>Mathematica</c:v>
                </c:pt>
                <c:pt idx="11">
                  <c:v>Microwave office</c:v>
                </c:pt>
                <c:pt idx="12">
                  <c:v>Supernec</c:v>
                </c:pt>
                <c:pt idx="13">
                  <c:v>Visual Studio 2010</c:v>
                </c:pt>
                <c:pt idx="14">
                  <c:v>Kaspersky Internet Security 2008</c:v>
                </c:pt>
                <c:pt idx="15">
                  <c:v>World of Warcraft</c:v>
                </c:pt>
                <c:pt idx="16">
                  <c:v>Oblivion</c:v>
                </c:pt>
                <c:pt idx="17">
                  <c:v>Skyrim</c:v>
                </c:pt>
                <c:pt idx="18">
                  <c:v>Следствие ведут колобки</c:v>
                </c:pt>
                <c:pt idx="19">
                  <c:v>Sniper Elite</c:v>
                </c:pt>
                <c:pt idx="20">
                  <c:v>Assassins</c:v>
                </c:pt>
                <c:pt idx="21">
                  <c:v>Prince of Persia</c:v>
                </c:pt>
              </c:strCache>
            </c:strRef>
          </c:cat>
          <c:val>
            <c:numRef>
              <c:f>'Задание 3'!$E$6:$E$27</c:f>
              <c:numCache>
                <c:formatCode>0.00%</c:formatCode>
                <c:ptCount val="22"/>
                <c:pt idx="0">
                  <c:v>0.16561546558103735</c:v>
                </c:pt>
                <c:pt idx="1">
                  <c:v>-9.5906594000735312E-2</c:v>
                </c:pt>
                <c:pt idx="2">
                  <c:v>0.17139942133972569</c:v>
                </c:pt>
                <c:pt idx="3">
                  <c:v>9.8519222776983911E-2</c:v>
                </c:pt>
                <c:pt idx="4">
                  <c:v>-0.13581031414422778</c:v>
                </c:pt>
                <c:pt idx="5">
                  <c:v>-0.25029537151475223</c:v>
                </c:pt>
                <c:pt idx="6">
                  <c:v>-7.2679509632224165E-2</c:v>
                </c:pt>
                <c:pt idx="7">
                  <c:v>-0.24919974870613576</c:v>
                </c:pt>
                <c:pt idx="8">
                  <c:v>-7.9591850726928051E-2</c:v>
                </c:pt>
                <c:pt idx="9">
                  <c:v>-7.306961124708293E-2</c:v>
                </c:pt>
                <c:pt idx="10">
                  <c:v>-0.25330101955540696</c:v>
                </c:pt>
                <c:pt idx="11">
                  <c:v>-4.1690087031914153E-2</c:v>
                </c:pt>
                <c:pt idx="12">
                  <c:v>-0.15852849939932426</c:v>
                </c:pt>
                <c:pt idx="13">
                  <c:v>0.5791009924109749</c:v>
                </c:pt>
                <c:pt idx="14">
                  <c:v>-0.25010092466214268</c:v>
                </c:pt>
                <c:pt idx="15">
                  <c:v>-0.15567982204489483</c:v>
                </c:pt>
                <c:pt idx="16">
                  <c:v>-4.1260740868465672E-2</c:v>
                </c:pt>
                <c:pt idx="17">
                  <c:v>-0.15927306065714369</c:v>
                </c:pt>
                <c:pt idx="18">
                  <c:v>-0.22804562311944582</c:v>
                </c:pt>
                <c:pt idx="19">
                  <c:v>7.9844206426484904E-2</c:v>
                </c:pt>
                <c:pt idx="20">
                  <c:v>-0.10454921895079533</c:v>
                </c:pt>
                <c:pt idx="21">
                  <c:v>-0.2471623212112749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5-4553-A068-28C128A08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  <c:majorUnit val="5.000000000000001E-2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1083564" cy="60350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909828" cy="530352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2619375" cy="1213089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2020824" cy="406908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2048256" cy="603504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982980" cy="397764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2619375" cy="1215132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2619375" cy="5567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1458468" cy="29718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1307592" cy="3794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1248156" cy="3794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548640" cy="603504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2084832" cy="306323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1199244</xdr:colOff>
      <xdr:row>26</xdr:row>
      <xdr:rowOff>585103</xdr:rowOff>
    </xdr:from>
    <xdr:ext cx="10864950" cy="44268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5</xdr:col>
      <xdr:colOff>91622</xdr:colOff>
      <xdr:row>24</xdr:row>
      <xdr:rowOff>419554</xdr:rowOff>
    </xdr:from>
    <xdr:to>
      <xdr:col>12</xdr:col>
      <xdr:colOff>963839</xdr:colOff>
      <xdr:row>26</xdr:row>
      <xdr:rowOff>158750</xdr:rowOff>
    </xdr:to>
    <xdr:sp macro="" textlink="">
      <xdr:nvSpPr>
        <xdr:cNvPr id="4" name="Прямоугольник: скругленные углы 3">
          <a:extLst>
            <a:ext uri="{FF2B5EF4-FFF2-40B4-BE49-F238E27FC236}">
              <a16:creationId xmlns:a16="http://schemas.microsoft.com/office/drawing/2014/main" id="{F20878A4-E6D2-44D3-8DCA-32636BBC4C29}"/>
            </a:ext>
          </a:extLst>
        </xdr:cNvPr>
        <xdr:cNvSpPr/>
      </xdr:nvSpPr>
      <xdr:spPr>
        <a:xfrm>
          <a:off x="4411890" y="13641161"/>
          <a:ext cx="13651592" cy="98651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/>
            <a:t>Вывод:</a:t>
          </a:r>
          <a:r>
            <a:rPr lang="ru-RU" sz="1400" baseline="0"/>
            <a:t> з</a:t>
          </a:r>
          <a:r>
            <a:rPr lang="ru-RU" sz="1400"/>
            <a:t>а май 2014 г. приложение выручило 6 379 839 руб., в среднем 205 801 руб. в день. Дневные продажи колебались умеренно: стандартное отклонение - 28 717 руб. при коэффициенте вариации около 14 %. Заметные положительные асимметрия (0,917) и эксцесс (1,816) указывают, что на фоне ровной массы дней выделилось несколько с повышенной выручкой. Резких всплесков и провалов в динамике продаж не наблюдалось.</a:t>
          </a:r>
        </a:p>
      </xdr:txBody>
    </xdr:sp>
    <xdr:clientData/>
  </xdr:twoCellAnchor>
  <xdr:twoCellAnchor>
    <xdr:from>
      <xdr:col>10</xdr:col>
      <xdr:colOff>249466</xdr:colOff>
      <xdr:row>14</xdr:row>
      <xdr:rowOff>192768</xdr:rowOff>
    </xdr:from>
    <xdr:to>
      <xdr:col>10</xdr:col>
      <xdr:colOff>805090</xdr:colOff>
      <xdr:row>15</xdr:row>
      <xdr:rowOff>158750</xdr:rowOff>
    </xdr:to>
    <xdr:sp macro="" textlink="">
      <xdr:nvSpPr>
        <xdr:cNvPr id="5" name="Равно 4">
          <a:extLst>
            <a:ext uri="{FF2B5EF4-FFF2-40B4-BE49-F238E27FC236}">
              <a16:creationId xmlns:a16="http://schemas.microsoft.com/office/drawing/2014/main" id="{BF218C2B-B824-91B7-5CAE-2605BDFEC2B7}"/>
            </a:ext>
          </a:extLst>
        </xdr:cNvPr>
        <xdr:cNvSpPr/>
      </xdr:nvSpPr>
      <xdr:spPr>
        <a:xfrm>
          <a:off x="13697859" y="4966607"/>
          <a:ext cx="555624" cy="351518"/>
        </a:xfrm>
        <a:prstGeom prst="mathEqua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113393</xdr:colOff>
      <xdr:row>5</xdr:row>
      <xdr:rowOff>22679</xdr:rowOff>
    </xdr:from>
    <xdr:to>
      <xdr:col>13</xdr:col>
      <xdr:colOff>578304</xdr:colOff>
      <xdr:row>9</xdr:row>
      <xdr:rowOff>442232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C015D340-8214-325B-CA92-C279F4AB165D}"/>
            </a:ext>
          </a:extLst>
        </xdr:cNvPr>
        <xdr:cNvCxnSpPr/>
      </xdr:nvCxnSpPr>
      <xdr:spPr>
        <a:xfrm flipV="1">
          <a:off x="13561786" y="816429"/>
          <a:ext cx="3889375" cy="173491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9</xdr:row>
      <xdr:rowOff>362857</xdr:rowOff>
    </xdr:from>
    <xdr:to>
      <xdr:col>13</xdr:col>
      <xdr:colOff>544286</xdr:colOff>
      <xdr:row>10</xdr:row>
      <xdr:rowOff>22679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8A7AAFE3-67B5-45BF-B15D-0FD8222756B0}"/>
            </a:ext>
          </a:extLst>
        </xdr:cNvPr>
        <xdr:cNvCxnSpPr/>
      </xdr:nvCxnSpPr>
      <xdr:spPr>
        <a:xfrm flipV="1">
          <a:off x="13584464" y="2471964"/>
          <a:ext cx="3832679" cy="419554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1975</xdr:colOff>
      <xdr:row>34</xdr:row>
      <xdr:rowOff>402559</xdr:rowOff>
    </xdr:from>
    <xdr:to>
      <xdr:col>12</xdr:col>
      <xdr:colOff>874192</xdr:colOff>
      <xdr:row>36</xdr:row>
      <xdr:rowOff>154323</xdr:rowOff>
    </xdr:to>
    <xdr:sp macro="" textlink="">
      <xdr:nvSpPr>
        <xdr:cNvPr id="30" name="Вывод по графику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4349857" y="19956824"/>
          <a:ext cx="13658129" cy="100682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/>
            <a:t>Вывод по графику: дневная выручка в мае 2014 г. держалась в коридоре от 152 619 руб. (24 мая) до 287 162 руб. (20 мая), колеблясь вокруг среднего уровня 205,8 тыс. руб. В первой половине месяца продажи шли ровно, затем 20 мая последовал резкий пик, после которого выручка опустилась до минимума месяца и до конца мая оставалась заметно ниже пиковых значений. Устойчивой тенденции к росту или снижению за месяц не прослеживается.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200024</xdr:colOff>
      <xdr:row>2</xdr:row>
      <xdr:rowOff>66674</xdr:rowOff>
    </xdr:from>
    <xdr:ext cx="7334251" cy="40005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200025</xdr:colOff>
      <xdr:row>14</xdr:row>
      <xdr:rowOff>276224</xdr:rowOff>
    </xdr:from>
    <xdr:ext cx="7334249" cy="453390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80595</xdr:colOff>
      <xdr:row>8</xdr:row>
      <xdr:rowOff>136036</xdr:rowOff>
    </xdr:from>
    <xdr:ext cx="7889750" cy="48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15"/>
  <sheetViews>
    <sheetView showGridLines="0" workbookViewId="0">
      <selection activeCell="C13" sqref="C13"/>
    </sheetView>
  </sheetViews>
  <sheetFormatPr defaultRowHeight="15" x14ac:dyDescent="0.25"/>
  <cols>
    <col min="1" max="1" width="50.85546875" customWidth="1"/>
    <col min="2" max="2" width="28" customWidth="1"/>
    <col min="3" max="3" width="57" customWidth="1"/>
    <col min="4" max="4" width="40" customWidth="1"/>
    <col min="5" max="5" width="42" customWidth="1"/>
  </cols>
  <sheetData>
    <row r="1" spans="2:5" ht="19.5" customHeight="1" x14ac:dyDescent="0.25"/>
    <row r="2" spans="2:5" x14ac:dyDescent="0.25">
      <c r="B2" s="2" t="s">
        <v>0</v>
      </c>
      <c r="C2" s="2" t="s">
        <v>1</v>
      </c>
      <c r="D2" s="2" t="s">
        <v>2</v>
      </c>
      <c r="E2" s="2" t="s">
        <v>3</v>
      </c>
    </row>
    <row r="3" spans="2:5" ht="57.6" customHeight="1" x14ac:dyDescent="0.25">
      <c r="B3" s="3" t="s">
        <v>4</v>
      </c>
      <c r="C3" s="3" t="s">
        <v>107</v>
      </c>
      <c r="D3" s="3"/>
      <c r="E3" s="3" t="s">
        <v>5</v>
      </c>
    </row>
    <row r="4" spans="2:5" ht="65.25" customHeight="1" x14ac:dyDescent="0.25">
      <c r="B4" s="3" t="s">
        <v>6</v>
      </c>
      <c r="C4" s="3" t="s">
        <v>7</v>
      </c>
      <c r="D4" s="3"/>
      <c r="E4" s="3" t="s">
        <v>8</v>
      </c>
    </row>
    <row r="5" spans="2:5" ht="105.6" customHeight="1" x14ac:dyDescent="0.25">
      <c r="B5" s="3" t="s">
        <v>9</v>
      </c>
      <c r="C5" s="3" t="s">
        <v>108</v>
      </c>
      <c r="D5" s="3"/>
      <c r="E5" s="3" t="s">
        <v>10</v>
      </c>
    </row>
    <row r="6" spans="2:5" ht="54.95" customHeight="1" x14ac:dyDescent="0.25">
      <c r="B6" s="3" t="s">
        <v>11</v>
      </c>
      <c r="C6" s="3" t="s">
        <v>12</v>
      </c>
      <c r="D6" s="3"/>
      <c r="E6" s="3" t="s">
        <v>13</v>
      </c>
    </row>
    <row r="7" spans="2:5" ht="57.6" customHeight="1" x14ac:dyDescent="0.25">
      <c r="B7" s="3" t="s">
        <v>14</v>
      </c>
      <c r="C7" s="3" t="s">
        <v>110</v>
      </c>
      <c r="D7" s="3"/>
      <c r="E7" s="3" t="s">
        <v>15</v>
      </c>
    </row>
    <row r="8" spans="2:5" ht="54.95" customHeight="1" x14ac:dyDescent="0.25">
      <c r="B8" s="3" t="s">
        <v>16</v>
      </c>
      <c r="C8" s="3" t="s">
        <v>109</v>
      </c>
      <c r="D8" s="3"/>
      <c r="E8" s="3" t="s">
        <v>17</v>
      </c>
    </row>
    <row r="9" spans="2:5" ht="105.6" customHeight="1" x14ac:dyDescent="0.25">
      <c r="B9" s="3" t="s">
        <v>18</v>
      </c>
      <c r="C9" s="3" t="s">
        <v>19</v>
      </c>
      <c r="D9" s="3"/>
      <c r="E9" s="3" t="s">
        <v>20</v>
      </c>
    </row>
    <row r="10" spans="2:5" ht="84" customHeight="1" x14ac:dyDescent="0.25">
      <c r="B10" s="3" t="s">
        <v>21</v>
      </c>
      <c r="C10" s="3" t="s">
        <v>111</v>
      </c>
      <c r="D10" s="3"/>
      <c r="E10" s="3" t="s">
        <v>22</v>
      </c>
    </row>
    <row r="11" spans="2:5" ht="54.95" customHeight="1" x14ac:dyDescent="0.25">
      <c r="B11" s="3" t="s">
        <v>23</v>
      </c>
      <c r="C11" s="3" t="s">
        <v>112</v>
      </c>
      <c r="D11" s="3"/>
      <c r="E11" s="3" t="s">
        <v>24</v>
      </c>
    </row>
    <row r="12" spans="2:5" ht="54.95" customHeight="1" x14ac:dyDescent="0.25">
      <c r="B12" s="3" t="s">
        <v>25</v>
      </c>
      <c r="C12" s="3" t="s">
        <v>114</v>
      </c>
      <c r="D12" s="3"/>
      <c r="E12" s="3" t="s">
        <v>26</v>
      </c>
    </row>
    <row r="13" spans="2:5" ht="54.95" customHeight="1" x14ac:dyDescent="0.25">
      <c r="B13" s="3" t="s">
        <v>27</v>
      </c>
      <c r="C13" s="3" t="s">
        <v>113</v>
      </c>
      <c r="D13" s="3"/>
      <c r="E13" s="3" t="s">
        <v>28</v>
      </c>
    </row>
    <row r="14" spans="2:5" ht="57.6" customHeight="1" x14ac:dyDescent="0.25">
      <c r="B14" s="3" t="s">
        <v>29</v>
      </c>
      <c r="C14" s="3" t="s">
        <v>116</v>
      </c>
      <c r="D14" s="3"/>
      <c r="E14" s="3" t="s">
        <v>30</v>
      </c>
    </row>
    <row r="15" spans="2:5" ht="54.95" customHeight="1" x14ac:dyDescent="0.25">
      <c r="B15" s="3" t="s">
        <v>31</v>
      </c>
      <c r="C15" s="3" t="s">
        <v>115</v>
      </c>
      <c r="D15" s="3"/>
      <c r="E15" s="3" t="s">
        <v>32</v>
      </c>
    </row>
  </sheetData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63"/>
  <sheetViews>
    <sheetView showGridLines="0" zoomScale="71" workbookViewId="0">
      <selection activeCell="H24" sqref="H24:J24"/>
    </sheetView>
  </sheetViews>
  <sheetFormatPr defaultRowHeight="15" x14ac:dyDescent="0.25"/>
  <cols>
    <col min="1" max="1" width="30" customWidth="1"/>
    <col min="2" max="2" width="20" customWidth="1"/>
    <col min="3" max="5" width="5" customWidth="1"/>
    <col min="6" max="7" width="38" customWidth="1"/>
    <col min="8" max="8" width="28" customWidth="1"/>
    <col min="9" max="9" width="16" customWidth="1"/>
    <col min="10" max="10" width="38.85546875" customWidth="1"/>
    <col min="11" max="11" width="16" customWidth="1"/>
    <col min="12" max="12" width="17" customWidth="1"/>
    <col min="13" max="13" width="18.42578125" customWidth="1"/>
    <col min="14" max="14" width="9.140625" customWidth="1"/>
    <col min="15" max="15" width="17.140625" customWidth="1"/>
    <col min="16" max="16" width="16.140625" customWidth="1"/>
    <col min="18" max="18" width="10.42578125" bestFit="1" customWidth="1"/>
    <col min="19" max="19" width="9.28515625" bestFit="1" customWidth="1"/>
  </cols>
  <sheetData>
    <row r="1" spans="1:16" ht="15.75" x14ac:dyDescent="0.25">
      <c r="A1" s="1"/>
    </row>
    <row r="2" spans="1:16" ht="15.75" x14ac:dyDescent="0.25">
      <c r="A2" s="1"/>
    </row>
    <row r="3" spans="1:16" ht="29.25" customHeight="1" x14ac:dyDescent="0.25">
      <c r="A3" s="1"/>
      <c r="H3" s="30" t="s">
        <v>105</v>
      </c>
    </row>
    <row r="4" spans="1:16" ht="15.75" x14ac:dyDescent="0.25">
      <c r="F4" s="1"/>
    </row>
    <row r="5" spans="1:16" ht="30" customHeight="1" x14ac:dyDescent="0.25">
      <c r="A5" s="2" t="s">
        <v>33</v>
      </c>
      <c r="B5" s="2" t="s">
        <v>34</v>
      </c>
      <c r="F5" s="2" t="s">
        <v>0</v>
      </c>
      <c r="G5" s="2" t="s">
        <v>50</v>
      </c>
      <c r="H5" s="35" t="s">
        <v>51</v>
      </c>
      <c r="I5" s="36"/>
      <c r="J5" s="37"/>
      <c r="O5" s="31" t="s">
        <v>35</v>
      </c>
      <c r="P5" s="31"/>
    </row>
    <row r="6" spans="1:16" ht="50.1" customHeight="1" x14ac:dyDescent="0.25">
      <c r="A6" s="4">
        <v>41760</v>
      </c>
      <c r="B6" s="5">
        <v>186599</v>
      </c>
      <c r="F6" s="3" t="s">
        <v>52</v>
      </c>
      <c r="G6" s="5">
        <f>SUM($B$6:$B$36)</f>
        <v>6379839</v>
      </c>
      <c r="H6" s="32" t="s">
        <v>117</v>
      </c>
      <c r="I6" s="33"/>
      <c r="J6" s="34"/>
      <c r="O6" s="2" t="s">
        <v>33</v>
      </c>
      <c r="P6" s="2" t="s">
        <v>34</v>
      </c>
    </row>
    <row r="7" spans="1:16" ht="50.1" customHeight="1" x14ac:dyDescent="0.25">
      <c r="A7" s="4">
        <v>41761</v>
      </c>
      <c r="B7" s="5">
        <v>211214</v>
      </c>
      <c r="F7" s="3" t="s">
        <v>53</v>
      </c>
      <c r="G7" s="5">
        <f>MAX($B$6:$B$36)</f>
        <v>287162</v>
      </c>
      <c r="H7" s="32" t="s">
        <v>118</v>
      </c>
      <c r="I7" s="33"/>
      <c r="J7" s="34"/>
      <c r="O7" s="3"/>
      <c r="P7" s="5"/>
    </row>
    <row r="8" spans="1:16" ht="50.1" customHeight="1" x14ac:dyDescent="0.25">
      <c r="A8" s="4">
        <v>41762</v>
      </c>
      <c r="B8" s="5">
        <v>179356</v>
      </c>
      <c r="F8" s="3" t="s">
        <v>54</v>
      </c>
      <c r="G8" s="5">
        <f>MIN($B$6:$B$36)</f>
        <v>152619</v>
      </c>
      <c r="H8" s="32" t="s">
        <v>119</v>
      </c>
      <c r="I8" s="33"/>
      <c r="J8" s="34"/>
    </row>
    <row r="9" spans="1:16" ht="50.1" customHeight="1" x14ac:dyDescent="0.25">
      <c r="A9" s="4">
        <v>41763</v>
      </c>
      <c r="B9" s="5">
        <v>210122</v>
      </c>
      <c r="F9" s="3" t="s">
        <v>55</v>
      </c>
      <c r="G9" s="6">
        <f>AVERAGE($B$6:$B$36)</f>
        <v>205801.25806451612</v>
      </c>
      <c r="H9" s="32" t="s">
        <v>120</v>
      </c>
      <c r="I9" s="33"/>
      <c r="J9" s="34"/>
    </row>
    <row r="10" spans="1:16" ht="50.1" customHeight="1" x14ac:dyDescent="0.25">
      <c r="A10" s="4">
        <v>41764</v>
      </c>
      <c r="B10" s="5">
        <v>205208</v>
      </c>
      <c r="F10" s="12" t="s">
        <v>56</v>
      </c>
      <c r="G10" s="13">
        <f>SUMIF($B$6:$B$36,"&gt;400000")</f>
        <v>0</v>
      </c>
      <c r="H10" s="39" t="s">
        <v>57</v>
      </c>
      <c r="I10" s="40"/>
      <c r="J10" s="41"/>
      <c r="O10" s="31" t="s">
        <v>36</v>
      </c>
      <c r="P10" s="31"/>
    </row>
    <row r="11" spans="1:16" ht="50.1" customHeight="1" thickBot="1" x14ac:dyDescent="0.3">
      <c r="A11" s="4">
        <v>41765</v>
      </c>
      <c r="B11" s="5">
        <v>175654</v>
      </c>
      <c r="F11" s="12" t="s">
        <v>58</v>
      </c>
      <c r="G11" s="13">
        <f>SUMIF($B$6:$B$36,"&lt;300000")</f>
        <v>6379839</v>
      </c>
      <c r="H11" s="39" t="s">
        <v>121</v>
      </c>
      <c r="I11" s="40"/>
      <c r="J11" s="41"/>
      <c r="K11" s="27"/>
      <c r="L11" s="38" t="s">
        <v>104</v>
      </c>
      <c r="M11" s="38"/>
      <c r="O11" s="2" t="s">
        <v>33</v>
      </c>
      <c r="P11" s="2" t="s">
        <v>34</v>
      </c>
    </row>
    <row r="12" spans="1:16" ht="50.1" customHeight="1" x14ac:dyDescent="0.25">
      <c r="A12" s="4">
        <v>41766</v>
      </c>
      <c r="B12" s="5">
        <v>166617</v>
      </c>
      <c r="F12" s="14" t="s">
        <v>59</v>
      </c>
      <c r="G12" s="15">
        <f>AVERAGE($B$6:$B$36)</f>
        <v>205801.25806451612</v>
      </c>
      <c r="H12" s="43" t="s">
        <v>122</v>
      </c>
      <c r="I12" s="44"/>
      <c r="J12" s="45"/>
      <c r="K12" s="16"/>
      <c r="L12" s="28" t="s">
        <v>37</v>
      </c>
      <c r="M12" s="29">
        <v>205801.25806451609</v>
      </c>
      <c r="O12" s="4">
        <v>41760</v>
      </c>
      <c r="P12" s="5">
        <v>186599</v>
      </c>
    </row>
    <row r="13" spans="1:16" ht="50.1" customHeight="1" x14ac:dyDescent="0.25">
      <c r="A13" s="4">
        <v>41767</v>
      </c>
      <c r="B13" s="5">
        <v>190185</v>
      </c>
      <c r="F13" s="17" t="s">
        <v>60</v>
      </c>
      <c r="G13" s="6">
        <f>STDEV(B6:B36)/SQRT(COUNT(B6:B36))</f>
        <v>5157.7576839952862</v>
      </c>
      <c r="H13" s="32" t="s">
        <v>61</v>
      </c>
      <c r="I13" s="33"/>
      <c r="J13" s="34"/>
      <c r="L13" s="3" t="s">
        <v>38</v>
      </c>
      <c r="M13" s="18">
        <v>5157.7576839952799</v>
      </c>
      <c r="O13" s="4">
        <v>41761</v>
      </c>
      <c r="P13" s="5">
        <v>211214</v>
      </c>
    </row>
    <row r="14" spans="1:16" ht="50.1" customHeight="1" x14ac:dyDescent="0.25">
      <c r="A14" s="4">
        <v>41768</v>
      </c>
      <c r="B14" s="5">
        <v>233444</v>
      </c>
      <c r="F14" s="17" t="s">
        <v>62</v>
      </c>
      <c r="G14" s="5">
        <f>MEDIAN($B$6:$B$36)</f>
        <v>201921</v>
      </c>
      <c r="H14" s="32" t="s">
        <v>123</v>
      </c>
      <c r="I14" s="33"/>
      <c r="J14" s="34"/>
      <c r="L14" s="3" t="s">
        <v>39</v>
      </c>
      <c r="M14" s="19">
        <v>201921</v>
      </c>
      <c r="O14" s="4">
        <v>41762</v>
      </c>
      <c r="P14" s="5">
        <v>179356</v>
      </c>
    </row>
    <row r="15" spans="1:16" ht="50.1" customHeight="1" x14ac:dyDescent="0.25">
      <c r="A15" s="4">
        <v>41769</v>
      </c>
      <c r="B15" s="5">
        <v>221200</v>
      </c>
      <c r="F15" s="17" t="s">
        <v>63</v>
      </c>
      <c r="G15" s="3" t="e">
        <f>MODE($B$6:$B$36)</f>
        <v>#N/A</v>
      </c>
      <c r="H15" s="32" t="s">
        <v>124</v>
      </c>
      <c r="I15" s="33"/>
      <c r="J15" s="34"/>
      <c r="L15" s="3" t="s">
        <v>40</v>
      </c>
      <c r="M15" s="20" t="e">
        <v>#N/A</v>
      </c>
      <c r="O15" s="4">
        <v>41763</v>
      </c>
      <c r="P15" s="5">
        <v>210122</v>
      </c>
    </row>
    <row r="16" spans="1:16" ht="50.1" customHeight="1" x14ac:dyDescent="0.25">
      <c r="A16" s="4">
        <v>41770</v>
      </c>
      <c r="B16" s="5">
        <v>224456</v>
      </c>
      <c r="F16" s="17" t="s">
        <v>64</v>
      </c>
      <c r="G16" s="6">
        <f>VAR(B6:B36)</f>
        <v>824676394.13118494</v>
      </c>
      <c r="H16" s="32" t="s">
        <v>125</v>
      </c>
      <c r="I16" s="33"/>
      <c r="J16" s="34"/>
      <c r="L16" s="3" t="s">
        <v>41</v>
      </c>
      <c r="M16" s="18">
        <v>28717.179425061629</v>
      </c>
      <c r="O16" s="4">
        <v>41764</v>
      </c>
      <c r="P16" s="5">
        <v>205208</v>
      </c>
    </row>
    <row r="17" spans="1:16" ht="50.1" customHeight="1" x14ac:dyDescent="0.25">
      <c r="A17" s="4">
        <v>41771</v>
      </c>
      <c r="B17" s="5">
        <v>276819</v>
      </c>
      <c r="F17" s="17" t="s">
        <v>65</v>
      </c>
      <c r="G17" s="6">
        <f>STDEV(B6:B36)</f>
        <v>28717.179425061662</v>
      </c>
      <c r="H17" s="32" t="s">
        <v>66</v>
      </c>
      <c r="I17" s="33"/>
      <c r="J17" s="34"/>
      <c r="L17" s="3" t="s">
        <v>42</v>
      </c>
      <c r="M17" s="18">
        <v>824676394.13118279</v>
      </c>
      <c r="O17" s="4">
        <v>41765</v>
      </c>
      <c r="P17" s="5">
        <v>175654</v>
      </c>
    </row>
    <row r="18" spans="1:16" ht="50.1" customHeight="1" x14ac:dyDescent="0.25">
      <c r="A18" s="4">
        <v>41772</v>
      </c>
      <c r="B18" s="5">
        <v>199988</v>
      </c>
      <c r="F18" s="17" t="s">
        <v>67</v>
      </c>
      <c r="G18" s="8">
        <f>KURT(B6:B36)</f>
        <v>1.8163196774982175</v>
      </c>
      <c r="H18" s="32" t="s">
        <v>126</v>
      </c>
      <c r="I18" s="33"/>
      <c r="J18" s="34"/>
      <c r="L18" s="3" t="s">
        <v>43</v>
      </c>
      <c r="M18" s="21">
        <v>1.816319677498218</v>
      </c>
      <c r="O18" s="4">
        <v>41766</v>
      </c>
      <c r="P18" s="5">
        <v>166617</v>
      </c>
    </row>
    <row r="19" spans="1:16" ht="50.1" customHeight="1" x14ac:dyDescent="0.25">
      <c r="A19" s="4">
        <v>41773</v>
      </c>
      <c r="B19" s="5">
        <v>178167</v>
      </c>
      <c r="F19" s="17" t="s">
        <v>68</v>
      </c>
      <c r="G19" s="8">
        <f>SKEW(B6:B36)</f>
        <v>0.91686290868082143</v>
      </c>
      <c r="H19" s="32" t="s">
        <v>127</v>
      </c>
      <c r="I19" s="33"/>
      <c r="J19" s="34"/>
      <c r="L19" s="3" t="s">
        <v>44</v>
      </c>
      <c r="M19" s="21">
        <v>0.91686290868082143</v>
      </c>
      <c r="O19" s="4">
        <v>41767</v>
      </c>
      <c r="P19" s="5">
        <v>190185</v>
      </c>
    </row>
    <row r="20" spans="1:16" ht="50.1" customHeight="1" x14ac:dyDescent="0.25">
      <c r="A20" s="4">
        <v>41774</v>
      </c>
      <c r="B20" s="5">
        <v>187815</v>
      </c>
      <c r="F20" s="17" t="s">
        <v>69</v>
      </c>
      <c r="G20" s="5">
        <f>MAX($B$6:$B$36)-MIN($B$6:$B$36)</f>
        <v>134543</v>
      </c>
      <c r="H20" s="32" t="s">
        <v>128</v>
      </c>
      <c r="I20" s="33"/>
      <c r="J20" s="34"/>
      <c r="L20" s="3" t="s">
        <v>45</v>
      </c>
      <c r="M20" s="19">
        <v>134543</v>
      </c>
      <c r="O20" s="4">
        <v>41768</v>
      </c>
      <c r="P20" s="5">
        <v>233444</v>
      </c>
    </row>
    <row r="21" spans="1:16" ht="50.1" customHeight="1" x14ac:dyDescent="0.25">
      <c r="A21" s="4">
        <v>41775</v>
      </c>
      <c r="B21" s="5">
        <v>167281</v>
      </c>
      <c r="F21" s="17" t="s">
        <v>70</v>
      </c>
      <c r="G21" s="5">
        <f>MAX($B$6:$B$36)</f>
        <v>287162</v>
      </c>
      <c r="H21" s="32" t="s">
        <v>130</v>
      </c>
      <c r="I21" s="33"/>
      <c r="J21" s="34"/>
      <c r="L21" s="3" t="s">
        <v>46</v>
      </c>
      <c r="M21" s="19">
        <v>152619</v>
      </c>
      <c r="O21" s="4">
        <v>41769</v>
      </c>
      <c r="P21" s="5">
        <v>221200</v>
      </c>
    </row>
    <row r="22" spans="1:16" ht="50.1" customHeight="1" x14ac:dyDescent="0.25">
      <c r="A22" s="4">
        <v>41776</v>
      </c>
      <c r="B22" s="5">
        <v>190189</v>
      </c>
      <c r="F22" s="17" t="s">
        <v>71</v>
      </c>
      <c r="G22" s="5">
        <f>MIN($B$6:$B$36)</f>
        <v>152619</v>
      </c>
      <c r="H22" s="32" t="s">
        <v>129</v>
      </c>
      <c r="I22" s="33"/>
      <c r="J22" s="34"/>
      <c r="L22" s="3" t="s">
        <v>47</v>
      </c>
      <c r="M22" s="19">
        <v>287162</v>
      </c>
      <c r="O22" s="4">
        <v>41770</v>
      </c>
      <c r="P22" s="5">
        <v>224456</v>
      </c>
    </row>
    <row r="23" spans="1:16" ht="50.1" customHeight="1" x14ac:dyDescent="0.25">
      <c r="A23" s="4">
        <v>41777</v>
      </c>
      <c r="B23" s="5">
        <v>211201</v>
      </c>
      <c r="F23" s="17" t="s">
        <v>72</v>
      </c>
      <c r="G23" s="5">
        <f>SUM($B$6:$B$36)</f>
        <v>6379839</v>
      </c>
      <c r="H23" s="32" t="s">
        <v>131</v>
      </c>
      <c r="I23" s="33"/>
      <c r="J23" s="34"/>
      <c r="L23" s="3" t="s">
        <v>48</v>
      </c>
      <c r="M23" s="19">
        <v>6379839</v>
      </c>
      <c r="O23" s="4">
        <v>41771</v>
      </c>
      <c r="P23" s="5">
        <v>276819</v>
      </c>
    </row>
    <row r="24" spans="1:16" ht="50.1" customHeight="1" thickBot="1" x14ac:dyDescent="0.3">
      <c r="A24" s="4">
        <v>41778</v>
      </c>
      <c r="B24" s="5">
        <v>201388</v>
      </c>
      <c r="F24" s="22" t="s">
        <v>73</v>
      </c>
      <c r="G24" s="23">
        <f>COUNT(B6:B36)</f>
        <v>31</v>
      </c>
      <c r="H24" s="42" t="s">
        <v>132</v>
      </c>
      <c r="I24" s="42"/>
      <c r="J24" s="42"/>
      <c r="K24" s="24"/>
      <c r="L24" s="25" t="s">
        <v>49</v>
      </c>
      <c r="M24" s="26">
        <v>31</v>
      </c>
      <c r="O24" s="4">
        <v>41772</v>
      </c>
      <c r="P24" s="5">
        <v>199988</v>
      </c>
    </row>
    <row r="25" spans="1:16" ht="50.1" customHeight="1" x14ac:dyDescent="0.25">
      <c r="A25" s="4">
        <v>41779</v>
      </c>
      <c r="B25" s="5">
        <v>287162</v>
      </c>
      <c r="O25" s="4">
        <v>41773</v>
      </c>
      <c r="P25" s="5">
        <v>178167</v>
      </c>
    </row>
    <row r="26" spans="1:16" ht="50.1" customHeight="1" x14ac:dyDescent="0.25">
      <c r="A26" s="4">
        <v>41780</v>
      </c>
      <c r="B26" s="5">
        <v>233234</v>
      </c>
      <c r="O26" s="4">
        <v>41774</v>
      </c>
      <c r="P26" s="5">
        <v>187815</v>
      </c>
    </row>
    <row r="27" spans="1:16" ht="50.1" customHeight="1" x14ac:dyDescent="0.25">
      <c r="A27" s="4">
        <v>41781</v>
      </c>
      <c r="B27" s="5">
        <v>219121</v>
      </c>
      <c r="O27" s="4">
        <v>41775</v>
      </c>
      <c r="P27" s="5">
        <v>167281</v>
      </c>
    </row>
    <row r="28" spans="1:16" ht="50.1" customHeight="1" x14ac:dyDescent="0.25">
      <c r="A28" s="4">
        <v>41782</v>
      </c>
      <c r="B28" s="5">
        <v>218178</v>
      </c>
      <c r="O28" s="4">
        <v>41776</v>
      </c>
      <c r="P28" s="5">
        <v>190189</v>
      </c>
    </row>
    <row r="29" spans="1:16" ht="50.1" customHeight="1" x14ac:dyDescent="0.25">
      <c r="A29" s="4">
        <v>41783</v>
      </c>
      <c r="B29" s="5">
        <v>152619</v>
      </c>
      <c r="O29" s="4">
        <v>41777</v>
      </c>
      <c r="P29" s="5">
        <v>211201</v>
      </c>
    </row>
    <row r="30" spans="1:16" ht="50.1" customHeight="1" x14ac:dyDescent="0.25">
      <c r="A30" s="4">
        <v>41784</v>
      </c>
      <c r="B30" s="5">
        <v>198198</v>
      </c>
      <c r="O30" s="4">
        <v>41778</v>
      </c>
      <c r="P30" s="5">
        <v>201388</v>
      </c>
    </row>
    <row r="31" spans="1:16" ht="50.1" customHeight="1" x14ac:dyDescent="0.25">
      <c r="A31" s="4">
        <v>41785</v>
      </c>
      <c r="B31" s="5">
        <v>210928</v>
      </c>
      <c r="O31" s="4">
        <v>41779</v>
      </c>
      <c r="P31" s="5">
        <v>287162</v>
      </c>
    </row>
    <row r="32" spans="1:16" ht="50.1" customHeight="1" x14ac:dyDescent="0.25">
      <c r="A32" s="4">
        <v>41786</v>
      </c>
      <c r="B32" s="5">
        <v>201921</v>
      </c>
      <c r="O32" s="4">
        <v>41780</v>
      </c>
      <c r="P32" s="5">
        <v>233234</v>
      </c>
    </row>
    <row r="33" spans="1:16" ht="50.1" customHeight="1" x14ac:dyDescent="0.25">
      <c r="A33" s="4">
        <v>41787</v>
      </c>
      <c r="B33" s="5">
        <v>220291</v>
      </c>
      <c r="O33" s="4">
        <v>41781</v>
      </c>
      <c r="P33" s="5">
        <v>219121</v>
      </c>
    </row>
    <row r="34" spans="1:16" ht="50.1" customHeight="1" x14ac:dyDescent="0.25">
      <c r="A34" s="4">
        <v>41788</v>
      </c>
      <c r="B34" s="5">
        <v>201920</v>
      </c>
      <c r="O34" s="4">
        <v>41782</v>
      </c>
      <c r="P34" s="5">
        <v>218178</v>
      </c>
    </row>
    <row r="35" spans="1:16" ht="50.1" customHeight="1" x14ac:dyDescent="0.25">
      <c r="A35" s="4">
        <v>41789</v>
      </c>
      <c r="B35" s="5">
        <v>229182</v>
      </c>
      <c r="O35" s="4">
        <v>41783</v>
      </c>
      <c r="P35" s="5">
        <v>152619</v>
      </c>
    </row>
    <row r="36" spans="1:16" ht="50.1" customHeight="1" x14ac:dyDescent="0.25">
      <c r="A36" s="4">
        <v>41790</v>
      </c>
      <c r="B36" s="5">
        <v>190182</v>
      </c>
      <c r="O36" s="4">
        <v>41784</v>
      </c>
      <c r="P36" s="5">
        <v>198198</v>
      </c>
    </row>
    <row r="37" spans="1:16" x14ac:dyDescent="0.25">
      <c r="O37" s="4">
        <v>41785</v>
      </c>
      <c r="P37" s="5">
        <v>210928</v>
      </c>
    </row>
    <row r="38" spans="1:16" ht="27.95" customHeight="1" x14ac:dyDescent="0.25">
      <c r="O38" s="4">
        <v>41786</v>
      </c>
      <c r="P38" s="5">
        <v>201921</v>
      </c>
    </row>
    <row r="39" spans="1:16" x14ac:dyDescent="0.25">
      <c r="O39" s="4">
        <v>41787</v>
      </c>
      <c r="P39" s="5">
        <v>220291</v>
      </c>
    </row>
    <row r="40" spans="1:16" x14ac:dyDescent="0.25">
      <c r="O40" s="4">
        <v>41788</v>
      </c>
      <c r="P40" s="5">
        <v>201920</v>
      </c>
    </row>
    <row r="41" spans="1:16" x14ac:dyDescent="0.25">
      <c r="O41" s="4">
        <v>41789</v>
      </c>
      <c r="P41" s="5">
        <v>229182</v>
      </c>
    </row>
    <row r="42" spans="1:16" ht="33.950000000000003" customHeight="1" x14ac:dyDescent="0.25">
      <c r="O42" s="4">
        <v>41790</v>
      </c>
      <c r="P42" s="5">
        <v>190182</v>
      </c>
    </row>
    <row r="43" spans="1:16" ht="33.950000000000003" customHeight="1" x14ac:dyDescent="0.25"/>
    <row r="44" spans="1:16" ht="33.950000000000003" customHeight="1" x14ac:dyDescent="0.25"/>
    <row r="45" spans="1:16" ht="33.950000000000003" customHeight="1" x14ac:dyDescent="0.25"/>
    <row r="46" spans="1:16" ht="33.950000000000003" customHeight="1" x14ac:dyDescent="0.25"/>
    <row r="47" spans="1:16" ht="33.950000000000003" customHeight="1" x14ac:dyDescent="0.25"/>
    <row r="48" spans="1:16" ht="33.950000000000003" customHeight="1" x14ac:dyDescent="0.25"/>
    <row r="49" spans="1:1" ht="33.950000000000003" customHeight="1" x14ac:dyDescent="0.25"/>
    <row r="50" spans="1:1" ht="33.950000000000003" customHeight="1" x14ac:dyDescent="0.25"/>
    <row r="51" spans="1:1" ht="33.950000000000003" customHeight="1" x14ac:dyDescent="0.25"/>
    <row r="52" spans="1:1" ht="48" customHeight="1" x14ac:dyDescent="0.25"/>
    <row r="53" spans="1:1" ht="33.950000000000003" customHeight="1" x14ac:dyDescent="0.25"/>
    <row r="54" spans="1:1" ht="48" customHeight="1" x14ac:dyDescent="0.25"/>
    <row r="55" spans="1:1" ht="48" customHeight="1" x14ac:dyDescent="0.25"/>
    <row r="56" spans="1:1" ht="33.950000000000003" customHeight="1" x14ac:dyDescent="0.25"/>
    <row r="57" spans="1:1" ht="33.950000000000003" customHeight="1" x14ac:dyDescent="0.25"/>
    <row r="58" spans="1:1" ht="33.950000000000003" customHeight="1" x14ac:dyDescent="0.25"/>
    <row r="59" spans="1:1" ht="33.950000000000003" customHeight="1" x14ac:dyDescent="0.25"/>
    <row r="60" spans="1:1" ht="33.950000000000003" customHeight="1" x14ac:dyDescent="0.25"/>
    <row r="63" spans="1:1" ht="15.75" x14ac:dyDescent="0.25">
      <c r="A63" s="1"/>
    </row>
  </sheetData>
  <autoFilter ref="A5:B36" xr:uid="{00000000-0001-0000-0100-000000000000}"/>
  <mergeCells count="23">
    <mergeCell ref="H24:J24"/>
    <mergeCell ref="H20:J20"/>
    <mergeCell ref="H16:J16"/>
    <mergeCell ref="H10:J10"/>
    <mergeCell ref="H7:J7"/>
    <mergeCell ref="H21:J21"/>
    <mergeCell ref="H12:J12"/>
    <mergeCell ref="H17:J17"/>
    <mergeCell ref="H9:J9"/>
    <mergeCell ref="H22:J22"/>
    <mergeCell ref="H8:J8"/>
    <mergeCell ref="H19:J19"/>
    <mergeCell ref="H23:J23"/>
    <mergeCell ref="O10:P10"/>
    <mergeCell ref="O5:P5"/>
    <mergeCell ref="H18:J18"/>
    <mergeCell ref="H5:J5"/>
    <mergeCell ref="H14:J14"/>
    <mergeCell ref="H6:J6"/>
    <mergeCell ref="L11:M11"/>
    <mergeCell ref="H15:J15"/>
    <mergeCell ref="H13:J13"/>
    <mergeCell ref="H11:J11"/>
  </mergeCells>
  <pageMargins left="0.75" right="0.75" top="1" bottom="1" header="0.5" footer="0.5"/>
  <pageSetup paperSize="9" fitToHeight="0" orientation="landscape"/>
  <rowBreaks count="3" manualBreakCount="3">
    <brk id="24" max="16383" man="1"/>
    <brk id="39" max="16383" man="1"/>
    <brk id="62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G102"/>
  <sheetViews>
    <sheetView showGridLines="0" showRowColHeaders="0" tabSelected="1" topLeftCell="A4" zoomScale="73" workbookViewId="0">
      <selection activeCell="V29" sqref="V29"/>
    </sheetView>
  </sheetViews>
  <sheetFormatPr defaultRowHeight="15" x14ac:dyDescent="0.25"/>
  <cols>
    <col min="2" max="2" width="32" customWidth="1"/>
    <col min="3" max="4" width="17" customWidth="1"/>
    <col min="5" max="7" width="14" customWidth="1"/>
  </cols>
  <sheetData>
    <row r="2" spans="2:7" ht="18.75" x14ac:dyDescent="0.3">
      <c r="B2" s="46" t="s">
        <v>106</v>
      </c>
      <c r="C2" s="46"/>
      <c r="D2" s="46"/>
      <c r="E2" s="46"/>
      <c r="F2" s="46"/>
      <c r="G2" s="46"/>
    </row>
    <row r="4" spans="2:7" ht="30" customHeight="1" x14ac:dyDescent="0.25">
      <c r="B4" s="31" t="s">
        <v>74</v>
      </c>
      <c r="C4" s="31" t="s">
        <v>75</v>
      </c>
      <c r="D4" s="31"/>
      <c r="E4" s="31" t="s">
        <v>76</v>
      </c>
      <c r="F4" s="31" t="s">
        <v>77</v>
      </c>
      <c r="G4" s="31"/>
    </row>
    <row r="5" spans="2:7" ht="20.100000000000001" customHeight="1" x14ac:dyDescent="0.25">
      <c r="B5" s="31"/>
      <c r="C5" s="2" t="s">
        <v>78</v>
      </c>
      <c r="D5" s="2" t="s">
        <v>79</v>
      </c>
      <c r="E5" s="31"/>
      <c r="F5" s="2" t="s">
        <v>78</v>
      </c>
      <c r="G5" s="2" t="s">
        <v>79</v>
      </c>
    </row>
    <row r="6" spans="2:7" ht="27.95" customHeight="1" x14ac:dyDescent="0.25">
      <c r="B6" s="7" t="s">
        <v>80</v>
      </c>
      <c r="C6" s="5">
        <f>1725318+10</f>
        <v>1725328</v>
      </c>
      <c r="D6" s="5">
        <v>2011069</v>
      </c>
      <c r="E6" s="9">
        <f t="shared" ref="E6:E28" si="0">(D6-C6)/C6</f>
        <v>0.16561546558103735</v>
      </c>
      <c r="F6" s="9">
        <f t="shared" ref="F6:F27" si="1">C6/SUM($C$6:$C$27)</f>
        <v>0.15981511285664993</v>
      </c>
      <c r="G6" s="9">
        <f t="shared" ref="G6:G27" si="2">D6/SUM($D$6:$D$27)</f>
        <v>0.19649819210278291</v>
      </c>
    </row>
    <row r="7" spans="2:7" ht="27.95" customHeight="1" x14ac:dyDescent="0.25">
      <c r="B7" s="7" t="s">
        <v>81</v>
      </c>
      <c r="C7" s="5">
        <f>739814+10</f>
        <v>739824</v>
      </c>
      <c r="D7" s="5">
        <v>668870</v>
      </c>
      <c r="E7" s="9">
        <f t="shared" si="0"/>
        <v>-9.5906594000735312E-2</v>
      </c>
      <c r="F7" s="9">
        <f t="shared" si="1"/>
        <v>6.8529031032973545E-2</v>
      </c>
      <c r="G7" s="9">
        <f t="shared" si="2"/>
        <v>6.535417022080714E-2</v>
      </c>
    </row>
    <row r="8" spans="2:7" ht="27.95" customHeight="1" x14ac:dyDescent="0.25">
      <c r="B8" s="7" t="s">
        <v>82</v>
      </c>
      <c r="C8" s="5">
        <f>644928+10</f>
        <v>644938</v>
      </c>
      <c r="D8" s="5">
        <v>755480</v>
      </c>
      <c r="E8" s="9">
        <f t="shared" si="0"/>
        <v>0.17139942133972569</v>
      </c>
      <c r="F8" s="9">
        <f t="shared" si="1"/>
        <v>5.9739851932816307E-2</v>
      </c>
      <c r="G8" s="9">
        <f t="shared" si="2"/>
        <v>7.3816688621728258E-2</v>
      </c>
    </row>
    <row r="9" spans="2:7" ht="27.95" customHeight="1" x14ac:dyDescent="0.25">
      <c r="B9" s="7" t="s">
        <v>83</v>
      </c>
      <c r="C9" s="5">
        <f>351292+10</f>
        <v>351302</v>
      </c>
      <c r="D9" s="5">
        <v>385912</v>
      </c>
      <c r="E9" s="9">
        <f t="shared" si="0"/>
        <v>9.8519222776983911E-2</v>
      </c>
      <c r="F9" s="9">
        <f t="shared" si="1"/>
        <v>3.2540693002586663E-2</v>
      </c>
      <c r="G9" s="9">
        <f t="shared" si="2"/>
        <v>3.7706816777927143E-2</v>
      </c>
    </row>
    <row r="10" spans="2:7" ht="27.95" customHeight="1" x14ac:dyDescent="0.25">
      <c r="B10" s="7" t="s">
        <v>84</v>
      </c>
      <c r="C10" s="5">
        <f>1033910+10</f>
        <v>1033920</v>
      </c>
      <c r="D10" s="5">
        <v>893503</v>
      </c>
      <c r="E10" s="9">
        <f t="shared" si="0"/>
        <v>-0.13581031414422778</v>
      </c>
      <c r="F10" s="9">
        <f t="shared" si="1"/>
        <v>9.5770799224696695E-2</v>
      </c>
      <c r="G10" s="9">
        <f t="shared" si="2"/>
        <v>8.7302685357097565E-2</v>
      </c>
    </row>
    <row r="11" spans="2:7" ht="27.95" customHeight="1" x14ac:dyDescent="0.25">
      <c r="B11" s="7" t="s">
        <v>85</v>
      </c>
      <c r="C11" s="5">
        <f>367324+10</f>
        <v>367334</v>
      </c>
      <c r="D11" s="5">
        <v>275392</v>
      </c>
      <c r="E11" s="9">
        <f t="shared" si="0"/>
        <v>-0.25029537151475223</v>
      </c>
      <c r="F11" s="9">
        <f t="shared" si="1"/>
        <v>3.4025718394464499E-2</v>
      </c>
      <c r="G11" s="9">
        <f t="shared" si="2"/>
        <v>2.6908092223374529E-2</v>
      </c>
    </row>
    <row r="12" spans="2:7" ht="27.95" customHeight="1" x14ac:dyDescent="0.25">
      <c r="B12" s="7" t="s">
        <v>86</v>
      </c>
      <c r="C12" s="5">
        <f>86782+10</f>
        <v>86792</v>
      </c>
      <c r="D12" s="5">
        <v>80484</v>
      </c>
      <c r="E12" s="9">
        <f t="shared" si="0"/>
        <v>-7.2679509632224165E-2</v>
      </c>
      <c r="F12" s="9">
        <f t="shared" si="1"/>
        <v>8.0394413555302888E-3</v>
      </c>
      <c r="G12" s="9">
        <f t="shared" si="2"/>
        <v>7.863957175611766E-3</v>
      </c>
    </row>
    <row r="13" spans="2:7" ht="27.95" customHeight="1" x14ac:dyDescent="0.25">
      <c r="B13" s="7" t="s">
        <v>87</v>
      </c>
      <c r="C13" s="5">
        <f>467968+10</f>
        <v>467978</v>
      </c>
      <c r="D13" s="5">
        <v>351358</v>
      </c>
      <c r="E13" s="9">
        <f t="shared" si="0"/>
        <v>-0.24919974870613576</v>
      </c>
      <c r="F13" s="9">
        <f t="shared" si="1"/>
        <v>4.3348254293925172E-2</v>
      </c>
      <c r="G13" s="9">
        <f t="shared" si="2"/>
        <v>3.4330603167195953E-2</v>
      </c>
    </row>
    <row r="14" spans="2:7" ht="27.95" customHeight="1" x14ac:dyDescent="0.25">
      <c r="B14" s="7" t="s">
        <v>88</v>
      </c>
      <c r="C14" s="5">
        <f>1166818+10</f>
        <v>1166828</v>
      </c>
      <c r="D14" s="5">
        <v>1073958</v>
      </c>
      <c r="E14" s="9">
        <f t="shared" si="0"/>
        <v>-7.9591850726928051E-2</v>
      </c>
      <c r="F14" s="9">
        <f t="shared" si="1"/>
        <v>0.10808191167377978</v>
      </c>
      <c r="G14" s="9">
        <f t="shared" si="2"/>
        <v>0.10493464192144603</v>
      </c>
    </row>
    <row r="15" spans="2:7" ht="27.95" customHeight="1" x14ac:dyDescent="0.25">
      <c r="B15" s="7" t="s">
        <v>89</v>
      </c>
      <c r="C15" s="5">
        <f>878440+10</f>
        <v>878450</v>
      </c>
      <c r="D15" s="5">
        <v>814262</v>
      </c>
      <c r="E15" s="9">
        <f t="shared" si="0"/>
        <v>-7.306961124708293E-2</v>
      </c>
      <c r="F15" s="9">
        <f t="shared" si="1"/>
        <v>8.136979512818672E-2</v>
      </c>
      <c r="G15" s="9">
        <f t="shared" si="2"/>
        <v>7.9560179634809255E-2</v>
      </c>
    </row>
    <row r="16" spans="2:7" ht="27.95" customHeight="1" x14ac:dyDescent="0.25">
      <c r="B16" s="7" t="s">
        <v>90</v>
      </c>
      <c r="C16" s="5">
        <f>143582+10</f>
        <v>143592</v>
      </c>
      <c r="D16" s="5">
        <v>107220</v>
      </c>
      <c r="E16" s="9">
        <f t="shared" si="0"/>
        <v>-0.25330101955540696</v>
      </c>
      <c r="F16" s="9">
        <f t="shared" si="1"/>
        <v>1.3300758861684317E-2</v>
      </c>
      <c r="G16" s="9">
        <f t="shared" si="2"/>
        <v>1.0476287067853158E-2</v>
      </c>
    </row>
    <row r="17" spans="2:7" ht="27.95" customHeight="1" x14ac:dyDescent="0.25">
      <c r="B17" s="7" t="s">
        <v>91</v>
      </c>
      <c r="C17" s="5">
        <f>272189+10</f>
        <v>272199</v>
      </c>
      <c r="D17" s="5">
        <v>260851</v>
      </c>
      <c r="E17" s="9">
        <f t="shared" si="0"/>
        <v>-4.1690087031914153E-2</v>
      </c>
      <c r="F17" s="9">
        <f t="shared" si="1"/>
        <v>2.5213474715803173E-2</v>
      </c>
      <c r="G17" s="9">
        <f t="shared" si="2"/>
        <v>2.5487315406981573E-2</v>
      </c>
    </row>
    <row r="18" spans="2:7" ht="27.95" customHeight="1" x14ac:dyDescent="0.25">
      <c r="B18" s="7" t="s">
        <v>92</v>
      </c>
      <c r="C18" s="5">
        <f>1322667+10</f>
        <v>1322677</v>
      </c>
      <c r="D18" s="5">
        <v>1112995</v>
      </c>
      <c r="E18" s="9">
        <f t="shared" si="0"/>
        <v>-0.15852849939932426</v>
      </c>
      <c r="F18" s="9">
        <f t="shared" si="1"/>
        <v>0.12251802209660724</v>
      </c>
      <c r="G18" s="9">
        <f t="shared" si="2"/>
        <v>0.10874888197244195</v>
      </c>
    </row>
    <row r="19" spans="2:7" ht="27.95" customHeight="1" x14ac:dyDescent="0.25">
      <c r="B19" s="7" t="s">
        <v>93</v>
      </c>
      <c r="C19" s="5">
        <f>10268+10</f>
        <v>10278</v>
      </c>
      <c r="D19" s="5">
        <v>16230</v>
      </c>
      <c r="E19" s="9">
        <f t="shared" si="0"/>
        <v>0.5791009924109749</v>
      </c>
      <c r="F19" s="9">
        <f t="shared" si="1"/>
        <v>9.520391078917447E-4</v>
      </c>
      <c r="G19" s="9">
        <f t="shared" si="2"/>
        <v>1.5858061845854948E-3</v>
      </c>
    </row>
    <row r="20" spans="2:7" ht="27.95" customHeight="1" x14ac:dyDescent="0.25">
      <c r="B20" s="7" t="s">
        <v>94</v>
      </c>
      <c r="C20" s="5">
        <f>52009+10</f>
        <v>52019</v>
      </c>
      <c r="D20" s="5">
        <v>39009</v>
      </c>
      <c r="E20" s="9">
        <f t="shared" si="0"/>
        <v>-0.25010092466214268</v>
      </c>
      <c r="F20" s="9">
        <f t="shared" si="1"/>
        <v>4.8184590731096197E-3</v>
      </c>
      <c r="G20" s="9">
        <f t="shared" si="2"/>
        <v>3.8115042177754512E-3</v>
      </c>
    </row>
    <row r="21" spans="2:7" ht="27.95" customHeight="1" x14ac:dyDescent="0.25">
      <c r="B21" s="7" t="s">
        <v>95</v>
      </c>
      <c r="C21" s="5">
        <f>453138+10</f>
        <v>453148</v>
      </c>
      <c r="D21" s="5">
        <v>382602</v>
      </c>
      <c r="E21" s="9">
        <f t="shared" si="0"/>
        <v>-0.15567982204489483</v>
      </c>
      <c r="F21" s="9">
        <f t="shared" si="1"/>
        <v>4.1974568754906433E-2</v>
      </c>
      <c r="G21" s="9">
        <f t="shared" si="2"/>
        <v>3.7383402207934659E-2</v>
      </c>
    </row>
    <row r="22" spans="2:7" ht="27.95" customHeight="1" x14ac:dyDescent="0.25">
      <c r="B22" s="7" t="s">
        <v>96</v>
      </c>
      <c r="C22" s="5">
        <f>695930+10</f>
        <v>695940</v>
      </c>
      <c r="D22" s="5">
        <v>667225</v>
      </c>
      <c r="E22" s="9">
        <f t="shared" si="0"/>
        <v>-4.1260740868465672E-2</v>
      </c>
      <c r="F22" s="9">
        <f t="shared" si="1"/>
        <v>6.446410748649356E-2</v>
      </c>
      <c r="G22" s="9">
        <f t="shared" si="2"/>
        <v>6.5193440019103932E-2</v>
      </c>
    </row>
    <row r="23" spans="2:7" ht="27.95" customHeight="1" x14ac:dyDescent="0.25">
      <c r="B23" s="7" t="s">
        <v>97</v>
      </c>
      <c r="C23" s="5">
        <f>67616+10</f>
        <v>67626</v>
      </c>
      <c r="D23" s="5">
        <v>56855</v>
      </c>
      <c r="E23" s="9">
        <f t="shared" si="0"/>
        <v>-0.15927306065714369</v>
      </c>
      <c r="F23" s="9">
        <f t="shared" si="1"/>
        <v>6.2641172125206387E-3</v>
      </c>
      <c r="G23" s="9">
        <f t="shared" si="2"/>
        <v>5.5552070625143751E-3</v>
      </c>
    </row>
    <row r="24" spans="2:7" ht="27.95" customHeight="1" x14ac:dyDescent="0.25">
      <c r="B24" s="7" t="s">
        <v>98</v>
      </c>
      <c r="C24" s="5">
        <f>14281+10</f>
        <v>14291</v>
      </c>
      <c r="D24" s="5">
        <v>11032</v>
      </c>
      <c r="E24" s="9">
        <f t="shared" si="0"/>
        <v>-0.22804562311944582</v>
      </c>
      <c r="F24" s="9">
        <f t="shared" si="1"/>
        <v>1.3237586000078734E-3</v>
      </c>
      <c r="G24" s="9">
        <f t="shared" si="2"/>
        <v>1.0779182888692039E-3</v>
      </c>
    </row>
    <row r="25" spans="2:7" ht="27.95" customHeight="1" x14ac:dyDescent="0.25">
      <c r="B25" s="7" t="s">
        <v>99</v>
      </c>
      <c r="C25" s="5">
        <f>41070+10</f>
        <v>41080</v>
      </c>
      <c r="D25" s="5">
        <v>44360</v>
      </c>
      <c r="E25" s="9">
        <f t="shared" si="0"/>
        <v>7.9844206426484904E-2</v>
      </c>
      <c r="F25" s="9">
        <f t="shared" si="1"/>
        <v>3.8051923090283006E-3</v>
      </c>
      <c r="G25" s="9">
        <f t="shared" si="2"/>
        <v>4.33434148787508E-3</v>
      </c>
    </row>
    <row r="26" spans="2:7" ht="27.95" customHeight="1" x14ac:dyDescent="0.25">
      <c r="B26" s="7" t="s">
        <v>100</v>
      </c>
      <c r="C26" s="5">
        <f>210092+10</f>
        <v>210102</v>
      </c>
      <c r="D26" s="5">
        <v>188136</v>
      </c>
      <c r="E26" s="9">
        <f t="shared" si="0"/>
        <v>-0.10454921895079533</v>
      </c>
      <c r="F26" s="9">
        <f t="shared" si="1"/>
        <v>1.9461502300668548E-2</v>
      </c>
      <c r="G26" s="9">
        <f t="shared" si="2"/>
        <v>1.8382454241723762E-2</v>
      </c>
    </row>
    <row r="27" spans="2:7" ht="27.95" customHeight="1" x14ac:dyDescent="0.25">
      <c r="B27" s="7" t="s">
        <v>101</v>
      </c>
      <c r="C27" s="5">
        <f>50119+10</f>
        <v>50129</v>
      </c>
      <c r="D27" s="5">
        <v>37739</v>
      </c>
      <c r="E27" s="9">
        <f t="shared" si="0"/>
        <v>-0.2471623212112749</v>
      </c>
      <c r="F27" s="9">
        <f t="shared" si="1"/>
        <v>4.6433905856689307E-3</v>
      </c>
      <c r="G27" s="9">
        <f t="shared" si="2"/>
        <v>3.6874146395608127E-3</v>
      </c>
    </row>
    <row r="28" spans="2:7" x14ac:dyDescent="0.25">
      <c r="B28" s="2" t="s">
        <v>102</v>
      </c>
      <c r="C28" s="10">
        <f>SUM(C6:C27)</f>
        <v>10795775</v>
      </c>
      <c r="D28" s="10">
        <f>SUM(D6:D27)</f>
        <v>10234542</v>
      </c>
      <c r="E28" s="11">
        <f t="shared" si="0"/>
        <v>-5.1986355773439144E-2</v>
      </c>
      <c r="F28" s="11">
        <f>SUM(F6:F27)</f>
        <v>1.0000000000000002</v>
      </c>
      <c r="G28" s="11">
        <f>SUM(G6:G27)</f>
        <v>0.99999999999999978</v>
      </c>
    </row>
    <row r="95" spans="2:7" x14ac:dyDescent="0.25">
      <c r="B95" s="47" t="s">
        <v>103</v>
      </c>
      <c r="C95" s="47"/>
      <c r="D95" s="47"/>
      <c r="E95" s="47"/>
      <c r="F95" s="47"/>
      <c r="G95" s="47"/>
    </row>
    <row r="96" spans="2:7" x14ac:dyDescent="0.25">
      <c r="B96" s="47"/>
      <c r="C96" s="47"/>
      <c r="D96" s="47"/>
      <c r="E96" s="47"/>
      <c r="F96" s="47"/>
      <c r="G96" s="47"/>
    </row>
    <row r="97" spans="2:7" x14ac:dyDescent="0.25">
      <c r="B97" s="47"/>
      <c r="C97" s="47"/>
      <c r="D97" s="47"/>
      <c r="E97" s="47"/>
      <c r="F97" s="47"/>
      <c r="G97" s="47"/>
    </row>
    <row r="98" spans="2:7" x14ac:dyDescent="0.25">
      <c r="B98" s="47"/>
      <c r="C98" s="47"/>
      <c r="D98" s="47"/>
      <c r="E98" s="47"/>
      <c r="F98" s="47"/>
      <c r="G98" s="47"/>
    </row>
    <row r="99" spans="2:7" x14ac:dyDescent="0.25">
      <c r="B99" s="47"/>
      <c r="C99" s="47"/>
      <c r="D99" s="47"/>
      <c r="E99" s="47"/>
      <c r="F99" s="47"/>
      <c r="G99" s="47"/>
    </row>
    <row r="100" spans="2:7" x14ac:dyDescent="0.25">
      <c r="B100" s="47"/>
      <c r="C100" s="47"/>
      <c r="D100" s="47"/>
      <c r="E100" s="47"/>
      <c r="F100" s="47"/>
      <c r="G100" s="47"/>
    </row>
    <row r="101" spans="2:7" x14ac:dyDescent="0.25">
      <c r="B101" s="47"/>
      <c r="C101" s="47"/>
      <c r="D101" s="47"/>
      <c r="E101" s="47"/>
      <c r="F101" s="47"/>
      <c r="G101" s="47"/>
    </row>
    <row r="102" spans="2:7" x14ac:dyDescent="0.25">
      <c r="B102" s="47"/>
      <c r="C102" s="47"/>
      <c r="D102" s="47"/>
      <c r="E102" s="47"/>
      <c r="F102" s="47"/>
      <c r="G102" s="47"/>
    </row>
  </sheetData>
  <mergeCells count="6">
    <mergeCell ref="B2:G2"/>
    <mergeCell ref="B95:G102"/>
    <mergeCell ref="C4:D4"/>
    <mergeCell ref="B4:B5"/>
    <mergeCell ref="E4:E5"/>
    <mergeCell ref="F4:G4"/>
  </mergeCells>
  <pageMargins left="0.75" right="0.75" top="1" bottom="1" header="0.5" footer="0.5"/>
  <pageSetup paperSize="9" fitToHeight="0" orientation="landscape"/>
  <rowBreaks count="3" manualBreakCount="3">
    <brk id="30" max="16383" man="1"/>
    <brk id="56" max="16383" man="1"/>
    <brk id="93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Andrei Karas</cp:lastModifiedBy>
  <dcterms:created xsi:type="dcterms:W3CDTF">2026-10-02T14:00:16Z</dcterms:created>
  <dcterms:modified xsi:type="dcterms:W3CDTF">2026-10-06T20:28:13Z</dcterms:modified>
</cp:coreProperties>
</file>